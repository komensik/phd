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m11/Documents/GitHub/phd/"/>
    </mc:Choice>
  </mc:AlternateContent>
  <xr:revisionPtr revIDLastSave="0" documentId="13_ncr:1_{FD807E8F-DC18-1546-8AE7-4084BA35802F}" xr6:coauthVersionLast="47" xr6:coauthVersionMax="47" xr10:uidLastSave="{00000000-0000-0000-0000-000000000000}"/>
  <bookViews>
    <workbookView xWindow="840" yWindow="680" windowWidth="22980" windowHeight="18460" activeTab="2" xr2:uid="{B00AE03E-6114-604D-BCCB-A009DDE58F28}"/>
  </bookViews>
  <sheets>
    <sheet name="Sheet1" sheetId="1" r:id="rId1"/>
    <sheet name="Sheet2" sheetId="2" r:id="rId2"/>
    <sheet name="Race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0" i="1" l="1"/>
  <c r="H19" i="1"/>
  <c r="H18" i="1"/>
  <c r="H17" i="1"/>
  <c r="H16" i="1"/>
  <c r="G21" i="1"/>
  <c r="G20" i="1"/>
  <c r="G19" i="1"/>
  <c r="G18" i="1"/>
  <c r="G17" i="1"/>
  <c r="G16" i="1"/>
  <c r="D21" i="1"/>
  <c r="D20" i="1"/>
  <c r="D19" i="1"/>
  <c r="D18" i="1"/>
  <c r="D17" i="1"/>
  <c r="D16" i="1"/>
  <c r="C19" i="1"/>
  <c r="C20" i="1"/>
  <c r="C21" i="1"/>
  <c r="C18" i="1"/>
  <c r="C16" i="1"/>
  <c r="C17" i="1"/>
  <c r="B11" i="1"/>
  <c r="B7" i="1"/>
  <c r="F2" i="1"/>
</calcChain>
</file>

<file path=xl/sharedStrings.xml><?xml version="1.0" encoding="utf-8"?>
<sst xmlns="http://schemas.openxmlformats.org/spreadsheetml/2006/main" count="76" uniqueCount="75">
  <si>
    <t>Women</t>
  </si>
  <si>
    <t>white</t>
  </si>
  <si>
    <t>black</t>
  </si>
  <si>
    <t>Pct of Women</t>
  </si>
  <si>
    <t>Pct of sample</t>
  </si>
  <si>
    <t>Total</t>
  </si>
  <si>
    <t>Men</t>
  </si>
  <si>
    <t>Pct of Men</t>
  </si>
  <si>
    <t>Pct of Sample</t>
  </si>
  <si>
    <t>California</t>
  </si>
  <si>
    <t>New York</t>
  </si>
  <si>
    <t>Texas</t>
  </si>
  <si>
    <t>Florida</t>
  </si>
  <si>
    <t>Pennsylvania</t>
  </si>
  <si>
    <t>Illinois</t>
  </si>
  <si>
    <t>Georgia</t>
  </si>
  <si>
    <t>Ohio</t>
  </si>
  <si>
    <t>Michigan</t>
  </si>
  <si>
    <t>North Carolina</t>
  </si>
  <si>
    <t>New Jersey</t>
  </si>
  <si>
    <t>Arizona</t>
  </si>
  <si>
    <t>Indiana</t>
  </si>
  <si>
    <t>Washington</t>
  </si>
  <si>
    <t>Kentucky</t>
  </si>
  <si>
    <t>Missouri</t>
  </si>
  <si>
    <t>Virginia</t>
  </si>
  <si>
    <t>Maryland</t>
  </si>
  <si>
    <t>Tennessee</t>
  </si>
  <si>
    <t>Colorado</t>
  </si>
  <si>
    <t>Minnesota</t>
  </si>
  <si>
    <t>Wisconsin</t>
  </si>
  <si>
    <t>Massachusetts</t>
  </si>
  <si>
    <t>Alabama</t>
  </si>
  <si>
    <t>Oregon</t>
  </si>
  <si>
    <t>Nevada</t>
  </si>
  <si>
    <t>Oklahoma</t>
  </si>
  <si>
    <t>South Carolina</t>
  </si>
  <si>
    <t>Louisiana</t>
  </si>
  <si>
    <t>Arkansas</t>
  </si>
  <si>
    <t>Mississippi</t>
  </si>
  <si>
    <t>West Virginia</t>
  </si>
  <si>
    <t>Iowa</t>
  </si>
  <si>
    <t>Kansas</t>
  </si>
  <si>
    <t>Connecticut</t>
  </si>
  <si>
    <t>Utah</t>
  </si>
  <si>
    <t>Idaho</t>
  </si>
  <si>
    <t>Nebraska</t>
  </si>
  <si>
    <t>New Mexico</t>
  </si>
  <si>
    <t>Montana</t>
  </si>
  <si>
    <t>New Hampshire</t>
  </si>
  <si>
    <t>Rhode Island</t>
  </si>
  <si>
    <t>Delaware</t>
  </si>
  <si>
    <t>District of Columbia</t>
  </si>
  <si>
    <t>Maine</t>
  </si>
  <si>
    <t>North Dakota</t>
  </si>
  <si>
    <t>Hawaii</t>
  </si>
  <si>
    <t>South Dakota</t>
  </si>
  <si>
    <t>Vermont</t>
  </si>
  <si>
    <t>Alaska</t>
  </si>
  <si>
    <t>Wyoming</t>
  </si>
  <si>
    <t>Real - 2020</t>
  </si>
  <si>
    <t>State</t>
  </si>
  <si>
    <t>n</t>
  </si>
  <si>
    <t>pct</t>
  </si>
  <si>
    <t>Asian_Am</t>
  </si>
  <si>
    <t>Black</t>
  </si>
  <si>
    <t>Hisp_Latino</t>
  </si>
  <si>
    <t>MENA</t>
  </si>
  <si>
    <t>Native_Am</t>
  </si>
  <si>
    <t>Pac_Island</t>
  </si>
  <si>
    <t>White</t>
  </si>
  <si>
    <t>2020_pct</t>
  </si>
  <si>
    <t>2020_n_million</t>
  </si>
  <si>
    <t>pct_sample</t>
  </si>
  <si>
    <t>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</si>
</sst>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Lucida Grande"/>
      <family val="2"/>
    </font>
    <font>
      <b/>
      <sz val="12"/>
      <color theme="1"/>
      <name val="Aptos Narrow"/>
      <scheme val="minor"/>
    </font>
    <font>
      <sz val="11"/>
      <color theme="1"/>
      <name val="Lucida Grande"/>
      <family val="2"/>
    </font>
    <font>
      <sz val="16"/>
      <color rgb="FF202122"/>
      <name val="Arial"/>
      <family val="2"/>
    </font>
    <font>
      <b/>
      <sz val="16"/>
      <color rgb="FF202122"/>
      <name val="Arial"/>
      <family val="2"/>
    </font>
    <font>
      <u/>
      <sz val="12"/>
      <color theme="10"/>
      <name val="Aptos Narrow"/>
      <family val="2"/>
      <scheme val="minor"/>
    </font>
    <font>
      <sz val="9"/>
      <color rgb="FF000000"/>
      <name val="Lucida Sans"/>
      <family val="2"/>
    </font>
    <font>
      <sz val="12"/>
      <color rgb="FF000000"/>
      <name val="Lucida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9" fontId="0" fillId="0" borderId="0" xfId="1" applyFont="1"/>
    <xf numFmtId="2" fontId="0" fillId="0" borderId="0" xfId="1" applyNumberFormat="1" applyFont="1"/>
    <xf numFmtId="0" fontId="3" fillId="0" borderId="0" xfId="0" applyFont="1"/>
    <xf numFmtId="0" fontId="4" fillId="0" borderId="0" xfId="0" applyFont="1"/>
    <xf numFmtId="10" fontId="0" fillId="0" borderId="0" xfId="0" applyNumberFormat="1"/>
    <xf numFmtId="10" fontId="5" fillId="0" borderId="0" xfId="0" applyNumberFormat="1" applyFont="1"/>
    <xf numFmtId="0" fontId="6" fillId="0" borderId="0" xfId="0" applyFont="1"/>
    <xf numFmtId="0" fontId="7" fillId="0" borderId="0" xfId="2"/>
    <xf numFmtId="3" fontId="5" fillId="0" borderId="0" xfId="0" applyNumberFormat="1" applyFont="1"/>
    <xf numFmtId="0" fontId="5" fillId="0" borderId="0" xfId="0" applyFont="1"/>
    <xf numFmtId="0" fontId="8" fillId="0" borderId="0" xfId="0" applyFont="1"/>
    <xf numFmtId="2" fontId="8" fillId="0" borderId="0" xfId="0" applyNumberFormat="1" applyFont="1"/>
    <xf numFmtId="0" fontId="0" fillId="0" borderId="0" xfId="1" applyNumberFormat="1" applyFont="1"/>
    <xf numFmtId="0" fontId="8" fillId="0" borderId="0" xfId="0" applyNumberFormat="1" applyFont="1"/>
    <xf numFmtId="0" fontId="0" fillId="0" borderId="0" xfId="0" applyNumberFormat="1"/>
    <xf numFmtId="0" fontId="9" fillId="0" borderId="0" xfId="0" applyFont="1"/>
    <xf numFmtId="0" fontId="0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03FBB-9DA7-624E-86EA-33AA1B0CD4B3}">
  <dimension ref="A2:H21"/>
  <sheetViews>
    <sheetView workbookViewId="0">
      <selection activeCell="H21" sqref="H21"/>
    </sheetView>
  </sheetViews>
  <sheetFormatPr baseColWidth="10" defaultRowHeight="16" x14ac:dyDescent="0.2"/>
  <sheetData>
    <row r="2" spans="1:8" x14ac:dyDescent="0.2">
      <c r="B2" s="1">
        <v>757</v>
      </c>
      <c r="C2" s="1">
        <v>799</v>
      </c>
      <c r="D2" s="1">
        <v>36</v>
      </c>
      <c r="E2" s="1">
        <v>27</v>
      </c>
      <c r="F2">
        <f>B2+C2+D2+E2</f>
        <v>1619</v>
      </c>
    </row>
    <row r="7" spans="1:8" x14ac:dyDescent="0.2">
      <c r="B7">
        <f>B2+C2</f>
        <v>1556</v>
      </c>
    </row>
    <row r="11" spans="1:8" x14ac:dyDescent="0.2">
      <c r="B11">
        <f>1532+60</f>
        <v>1592</v>
      </c>
    </row>
    <row r="14" spans="1:8" x14ac:dyDescent="0.2">
      <c r="A14" s="4">
        <v>1599</v>
      </c>
      <c r="B14" s="4" t="s">
        <v>0</v>
      </c>
      <c r="C14" s="4" t="s">
        <v>3</v>
      </c>
      <c r="D14" s="4" t="s">
        <v>4</v>
      </c>
      <c r="F14" s="4" t="s">
        <v>6</v>
      </c>
      <c r="G14" s="4" t="s">
        <v>7</v>
      </c>
      <c r="H14" s="4" t="s">
        <v>8</v>
      </c>
    </row>
    <row r="15" spans="1:8" x14ac:dyDescent="0.2">
      <c r="A15" t="s">
        <v>5</v>
      </c>
      <c r="B15">
        <v>799</v>
      </c>
      <c r="F15">
        <v>757</v>
      </c>
    </row>
    <row r="16" spans="1:8" x14ac:dyDescent="0.2">
      <c r="A16" t="s">
        <v>1</v>
      </c>
      <c r="B16">
        <v>598</v>
      </c>
      <c r="C16">
        <f>B16/B15</f>
        <v>0.74843554443053817</v>
      </c>
      <c r="D16">
        <f>B16/A14</f>
        <v>0.37398373983739835</v>
      </c>
      <c r="F16">
        <v>548</v>
      </c>
      <c r="G16">
        <f>F16/F15</f>
        <v>0.7239101717305152</v>
      </c>
      <c r="H16">
        <f>F16/A14</f>
        <v>0.34271419637273298</v>
      </c>
    </row>
    <row r="17" spans="1:8" x14ac:dyDescent="0.2">
      <c r="A17" t="s">
        <v>2</v>
      </c>
      <c r="B17">
        <v>126</v>
      </c>
      <c r="C17" s="3">
        <f>B17/B15</f>
        <v>0.15769712140175218</v>
      </c>
      <c r="D17">
        <f>B17/A14</f>
        <v>7.879924953095685E-2</v>
      </c>
      <c r="F17">
        <v>133</v>
      </c>
      <c r="G17">
        <f>F17/F15</f>
        <v>0.17569352708058125</v>
      </c>
      <c r="H17">
        <f>F17/A14</f>
        <v>8.3176985616010002E-2</v>
      </c>
    </row>
    <row r="18" spans="1:8" x14ac:dyDescent="0.2">
      <c r="B18">
        <v>100</v>
      </c>
      <c r="C18" s="2">
        <f>B18/B16</f>
        <v>0.16722408026755853</v>
      </c>
      <c r="D18">
        <f>B18/A14</f>
        <v>6.2539086929330828E-2</v>
      </c>
      <c r="F18">
        <v>128</v>
      </c>
      <c r="G18">
        <f>F18/F15</f>
        <v>0.1690885072655218</v>
      </c>
      <c r="H18">
        <f>F18/A14</f>
        <v>8.0050031269543465E-2</v>
      </c>
    </row>
    <row r="19" spans="1:8" x14ac:dyDescent="0.2">
      <c r="B19">
        <v>43</v>
      </c>
      <c r="C19" s="2">
        <f t="shared" ref="C19:C21" si="0">B19/B17</f>
        <v>0.34126984126984128</v>
      </c>
      <c r="D19">
        <f>B19/A14</f>
        <v>2.6891807379612259E-2</v>
      </c>
      <c r="F19">
        <v>32</v>
      </c>
      <c r="G19">
        <f>F19/F15</f>
        <v>4.2272126816380449E-2</v>
      </c>
      <c r="H19">
        <f>F19/A14</f>
        <v>2.0012507817385866E-2</v>
      </c>
    </row>
    <row r="20" spans="1:8" x14ac:dyDescent="0.2">
      <c r="B20">
        <v>28</v>
      </c>
      <c r="C20" s="2">
        <f t="shared" si="0"/>
        <v>0.28000000000000003</v>
      </c>
      <c r="D20">
        <f>B20/A14</f>
        <v>1.7510944340212633E-2</v>
      </c>
      <c r="F20">
        <v>27</v>
      </c>
      <c r="G20">
        <f>F20/F15</f>
        <v>3.5667107001321002E-2</v>
      </c>
      <c r="H20">
        <f>F20/A14</f>
        <v>1.6885553470919325E-2</v>
      </c>
    </row>
    <row r="21" spans="1:8" x14ac:dyDescent="0.2">
      <c r="B21">
        <v>15</v>
      </c>
      <c r="C21" s="2">
        <f t="shared" si="0"/>
        <v>0.34883720930232559</v>
      </c>
      <c r="D21">
        <f>B21/A14</f>
        <v>9.3808630393996256E-3</v>
      </c>
      <c r="F21">
        <v>14</v>
      </c>
      <c r="G21">
        <f>F21/F15</f>
        <v>1.8494055482166448E-2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7EBB0-E260-8C4C-9652-51CD888DF284}">
  <dimension ref="A1:P53"/>
  <sheetViews>
    <sheetView workbookViewId="0">
      <selection activeCell="C13" sqref="C13"/>
    </sheetView>
  </sheetViews>
  <sheetFormatPr baseColWidth="10" defaultRowHeight="16" x14ac:dyDescent="0.2"/>
  <sheetData>
    <row r="1" spans="1:16" ht="20" x14ac:dyDescent="0.2">
      <c r="A1" t="s">
        <v>61</v>
      </c>
      <c r="B1" t="s">
        <v>62</v>
      </c>
      <c r="C1" t="s">
        <v>63</v>
      </c>
      <c r="E1" t="s">
        <v>60</v>
      </c>
      <c r="O1" s="7"/>
      <c r="P1" s="7"/>
    </row>
    <row r="2" spans="1:16" ht="20" x14ac:dyDescent="0.2">
      <c r="A2" s="5" t="s">
        <v>32</v>
      </c>
      <c r="B2" s="5">
        <v>23</v>
      </c>
      <c r="C2" s="5">
        <v>1.438399</v>
      </c>
      <c r="E2" s="6">
        <v>1.49E-2</v>
      </c>
      <c r="H2" s="8"/>
      <c r="I2" s="10"/>
      <c r="J2" s="10"/>
      <c r="K2" s="11"/>
      <c r="L2" s="7"/>
      <c r="M2" s="10"/>
      <c r="N2" s="10"/>
      <c r="O2" s="7"/>
      <c r="P2" s="7"/>
    </row>
    <row r="3" spans="1:16" ht="20" x14ac:dyDescent="0.2">
      <c r="A3" s="5" t="s">
        <v>58</v>
      </c>
      <c r="B3" s="5">
        <v>1</v>
      </c>
      <c r="C3" s="5">
        <v>6.2539090000000006E-2</v>
      </c>
      <c r="E3" s="6">
        <v>2.2000000000000001E-3</v>
      </c>
      <c r="H3" s="8"/>
      <c r="I3" s="11"/>
      <c r="J3" s="10"/>
      <c r="K3" s="9"/>
      <c r="L3" s="11"/>
      <c r="M3" s="11"/>
      <c r="N3" s="11"/>
      <c r="O3" s="7"/>
      <c r="P3" s="11"/>
    </row>
    <row r="4" spans="1:16" ht="20" x14ac:dyDescent="0.2">
      <c r="A4" s="5" t="s">
        <v>20</v>
      </c>
      <c r="B4" s="5">
        <v>41</v>
      </c>
      <c r="C4" s="5">
        <v>2.5641025599999998</v>
      </c>
      <c r="E4" s="6">
        <v>2.1299999999999999E-2</v>
      </c>
      <c r="H4" s="8"/>
      <c r="I4" s="10"/>
      <c r="J4" s="10"/>
      <c r="K4" s="11"/>
      <c r="L4" s="7"/>
      <c r="M4" s="10"/>
      <c r="N4" s="10"/>
      <c r="O4" s="7"/>
      <c r="P4" s="7"/>
    </row>
    <row r="5" spans="1:16" ht="20" x14ac:dyDescent="0.2">
      <c r="A5" s="5" t="s">
        <v>38</v>
      </c>
      <c r="B5" s="5">
        <v>15</v>
      </c>
      <c r="C5" s="5">
        <v>0.93808630000000004</v>
      </c>
      <c r="E5" s="6">
        <v>8.8999999999999999E-3</v>
      </c>
      <c r="H5" s="8"/>
      <c r="I5" s="10"/>
      <c r="J5" s="10"/>
      <c r="K5" s="11"/>
      <c r="L5" s="7"/>
      <c r="M5" s="10"/>
      <c r="N5" s="10"/>
      <c r="O5" s="7"/>
      <c r="P5" s="7"/>
    </row>
    <row r="6" spans="1:16" ht="20" x14ac:dyDescent="0.2">
      <c r="A6" s="5" t="s">
        <v>9</v>
      </c>
      <c r="B6" s="5">
        <v>168</v>
      </c>
      <c r="C6" s="5">
        <v>10.506566599999999</v>
      </c>
      <c r="E6">
        <v>11.8</v>
      </c>
      <c r="H6" s="8"/>
      <c r="I6" s="10"/>
      <c r="J6" s="10"/>
      <c r="K6" s="11"/>
      <c r="L6" s="7"/>
      <c r="M6" s="10"/>
      <c r="N6" s="10"/>
      <c r="O6" s="7"/>
      <c r="P6" s="7"/>
    </row>
    <row r="7" spans="1:16" ht="20" x14ac:dyDescent="0.2">
      <c r="A7" s="5" t="s">
        <v>28</v>
      </c>
      <c r="B7" s="5">
        <v>29</v>
      </c>
      <c r="C7" s="5">
        <v>1.81363352</v>
      </c>
      <c r="E7" s="6">
        <v>1.72E-2</v>
      </c>
      <c r="H7" s="8"/>
      <c r="I7" s="10"/>
      <c r="J7" s="10"/>
      <c r="K7" s="11"/>
      <c r="L7" s="7"/>
      <c r="M7" s="10"/>
      <c r="N7" s="10"/>
      <c r="O7" s="7"/>
      <c r="P7" s="7"/>
    </row>
    <row r="8" spans="1:16" ht="20" x14ac:dyDescent="0.2">
      <c r="A8" s="5" t="s">
        <v>43</v>
      </c>
      <c r="B8" s="5">
        <v>12</v>
      </c>
      <c r="C8" s="5">
        <v>0.75046904000000003</v>
      </c>
      <c r="E8" s="6">
        <v>1.0699999999999999E-2</v>
      </c>
      <c r="H8" s="8"/>
      <c r="I8" s="10"/>
      <c r="J8" s="10"/>
      <c r="K8" s="11"/>
      <c r="L8" s="7"/>
      <c r="M8" s="10"/>
      <c r="N8" s="10"/>
      <c r="O8" s="7"/>
      <c r="P8" s="7"/>
    </row>
    <row r="9" spans="1:16" ht="20" x14ac:dyDescent="0.2">
      <c r="A9" s="5" t="s">
        <v>51</v>
      </c>
      <c r="B9" s="5">
        <v>4</v>
      </c>
      <c r="C9" s="5">
        <v>0.25015635000000003</v>
      </c>
      <c r="E9" s="6">
        <v>2.9499999999999999E-3</v>
      </c>
      <c r="H9" s="8"/>
      <c r="I9" s="10"/>
      <c r="J9" s="10"/>
      <c r="K9" s="11"/>
      <c r="L9" s="7"/>
      <c r="M9" s="10"/>
      <c r="N9" s="10"/>
      <c r="O9" s="7"/>
      <c r="P9" s="7"/>
    </row>
    <row r="10" spans="1:16" ht="20" x14ac:dyDescent="0.2">
      <c r="A10" s="5" t="s">
        <v>52</v>
      </c>
      <c r="B10" s="5">
        <v>3</v>
      </c>
      <c r="C10" s="5">
        <v>0.18761726000000001</v>
      </c>
      <c r="E10" s="6">
        <v>2E-3</v>
      </c>
      <c r="H10" s="8"/>
      <c r="I10" s="10"/>
      <c r="J10" s="10"/>
      <c r="K10" s="11"/>
      <c r="L10" s="7"/>
      <c r="M10" s="10"/>
      <c r="N10" s="10"/>
      <c r="O10" s="7"/>
      <c r="P10" s="7"/>
    </row>
    <row r="11" spans="1:16" ht="20" x14ac:dyDescent="0.2">
      <c r="A11" s="5" t="s">
        <v>12</v>
      </c>
      <c r="B11" s="5">
        <v>112</v>
      </c>
      <c r="C11" s="5">
        <v>7.0043777399999998</v>
      </c>
      <c r="E11" s="7">
        <v>6.4280000000000004E-2</v>
      </c>
      <c r="H11" s="8"/>
      <c r="I11" s="10"/>
      <c r="J11" s="10"/>
      <c r="K11" s="11"/>
      <c r="L11" s="7"/>
      <c r="M11" s="10"/>
      <c r="N11" s="10"/>
      <c r="O11" s="7"/>
      <c r="P11" s="7"/>
    </row>
    <row r="12" spans="1:16" ht="20" x14ac:dyDescent="0.2">
      <c r="A12" s="5" t="s">
        <v>15</v>
      </c>
      <c r="B12" s="5">
        <v>58</v>
      </c>
      <c r="C12" s="5">
        <v>3.62726704</v>
      </c>
      <c r="E12" s="7">
        <v>3.1969999999999998E-2</v>
      </c>
      <c r="H12" s="8"/>
      <c r="I12" s="10"/>
      <c r="J12" s="10"/>
      <c r="K12" s="11"/>
      <c r="L12" s="7"/>
      <c r="M12" s="10"/>
      <c r="N12" s="10"/>
      <c r="O12" s="7"/>
      <c r="P12" s="7"/>
    </row>
    <row r="13" spans="1:16" ht="20" x14ac:dyDescent="0.2">
      <c r="A13" s="5" t="s">
        <v>55</v>
      </c>
      <c r="B13" s="5">
        <v>2</v>
      </c>
      <c r="C13" s="5">
        <v>0.12507816999999999</v>
      </c>
      <c r="E13" s="7">
        <v>4.3400000000000001E-3</v>
      </c>
      <c r="H13" s="8"/>
      <c r="I13" s="10"/>
      <c r="J13" s="10"/>
      <c r="K13" s="11"/>
      <c r="L13" s="7"/>
      <c r="M13" s="10"/>
      <c r="N13" s="10"/>
      <c r="O13" s="7"/>
      <c r="P13" s="7"/>
    </row>
    <row r="14" spans="1:16" ht="20" x14ac:dyDescent="0.2">
      <c r="A14" s="5" t="s">
        <v>45</v>
      </c>
      <c r="B14" s="5">
        <v>10</v>
      </c>
      <c r="C14" s="5">
        <v>0.62539087000000004</v>
      </c>
      <c r="E14" s="7">
        <v>5.4900000000000001E-3</v>
      </c>
      <c r="H14" s="8"/>
      <c r="I14" s="10"/>
      <c r="J14" s="10"/>
      <c r="K14" s="11"/>
      <c r="L14" s="7"/>
      <c r="M14" s="10"/>
      <c r="N14" s="10"/>
      <c r="O14" s="7"/>
      <c r="P14" s="7"/>
    </row>
    <row r="15" spans="1:16" ht="20" x14ac:dyDescent="0.2">
      <c r="A15" s="5" t="s">
        <v>14</v>
      </c>
      <c r="B15" s="5">
        <v>64</v>
      </c>
      <c r="C15" s="5">
        <v>4.0025015599999998</v>
      </c>
      <c r="E15" s="7">
        <v>3.8240000000000003E-2</v>
      </c>
      <c r="H15" s="8"/>
      <c r="I15" s="10"/>
      <c r="J15" s="10"/>
      <c r="K15" s="11"/>
      <c r="L15" s="7"/>
      <c r="M15" s="10"/>
      <c r="N15" s="10"/>
      <c r="O15" s="7"/>
      <c r="P15" s="7"/>
    </row>
    <row r="16" spans="1:16" ht="20" x14ac:dyDescent="0.2">
      <c r="A16" s="5" t="s">
        <v>21</v>
      </c>
      <c r="B16" s="5">
        <v>39</v>
      </c>
      <c r="C16" s="5">
        <v>2.4390243900000002</v>
      </c>
      <c r="E16" s="7">
        <v>2.0250000000000001E-2</v>
      </c>
      <c r="H16" s="8"/>
      <c r="I16" s="10"/>
      <c r="J16" s="10"/>
      <c r="K16" s="11"/>
      <c r="L16" s="7"/>
      <c r="M16" s="10"/>
      <c r="N16" s="10"/>
      <c r="O16" s="7"/>
      <c r="P16" s="7"/>
    </row>
    <row r="17" spans="1:16" ht="20" x14ac:dyDescent="0.2">
      <c r="A17" s="5" t="s">
        <v>41</v>
      </c>
      <c r="B17" s="5">
        <v>13</v>
      </c>
      <c r="C17" s="5">
        <v>0.81300813000000005</v>
      </c>
      <c r="E17" s="6">
        <v>9.5200000000000007E-3</v>
      </c>
      <c r="H17" s="8"/>
      <c r="I17" s="10"/>
      <c r="J17" s="10"/>
      <c r="K17" s="11"/>
      <c r="L17" s="7"/>
      <c r="M17" s="10"/>
      <c r="N17" s="10"/>
      <c r="O17" s="7"/>
      <c r="P17" s="7"/>
    </row>
    <row r="18" spans="1:16" ht="20" x14ac:dyDescent="0.2">
      <c r="A18" s="5" t="s">
        <v>42</v>
      </c>
      <c r="B18" s="5">
        <v>13</v>
      </c>
      <c r="C18" s="5">
        <v>0.81300813000000005</v>
      </c>
      <c r="E18" s="7">
        <v>8.77E-3</v>
      </c>
      <c r="H18" s="8"/>
      <c r="I18" s="10"/>
      <c r="J18" s="10"/>
      <c r="K18" s="11"/>
      <c r="L18" s="7"/>
      <c r="M18" s="10"/>
      <c r="N18" s="10"/>
      <c r="O18" s="7"/>
      <c r="P18" s="7"/>
    </row>
    <row r="19" spans="1:16" ht="20" x14ac:dyDescent="0.2">
      <c r="A19" s="5" t="s">
        <v>23</v>
      </c>
      <c r="B19" s="5">
        <v>38</v>
      </c>
      <c r="C19" s="5">
        <v>2.3764853000000001</v>
      </c>
      <c r="E19" s="7">
        <v>1.345E-2</v>
      </c>
      <c r="H19" s="8"/>
      <c r="I19" s="10"/>
      <c r="J19" s="10"/>
      <c r="K19" s="11"/>
      <c r="L19" s="7"/>
      <c r="M19" s="10"/>
      <c r="N19" s="10"/>
      <c r="O19" s="7"/>
      <c r="P19" s="7"/>
    </row>
    <row r="20" spans="1:16" ht="20" x14ac:dyDescent="0.2">
      <c r="A20" s="5" t="s">
        <v>37</v>
      </c>
      <c r="B20" s="5">
        <v>17</v>
      </c>
      <c r="C20" s="5">
        <v>1.06316448</v>
      </c>
      <c r="E20" s="7">
        <v>1.3899999999999999E-2</v>
      </c>
      <c r="H20" s="8"/>
      <c r="I20" s="10"/>
      <c r="J20" s="10"/>
      <c r="K20" s="11"/>
      <c r="L20" s="7"/>
      <c r="M20" s="10"/>
      <c r="N20" s="10"/>
      <c r="O20" s="7"/>
      <c r="P20" s="7"/>
    </row>
    <row r="21" spans="1:16" ht="20" x14ac:dyDescent="0.2">
      <c r="A21" s="5" t="s">
        <v>53</v>
      </c>
      <c r="B21" s="5">
        <v>3</v>
      </c>
      <c r="C21" s="5">
        <v>0.18761726000000001</v>
      </c>
      <c r="E21" s="7">
        <v>4.0699999999999998E-3</v>
      </c>
      <c r="H21" s="8"/>
      <c r="I21" s="10"/>
      <c r="J21" s="10"/>
      <c r="K21" s="11"/>
      <c r="L21" s="7"/>
      <c r="M21" s="10"/>
      <c r="N21" s="10"/>
      <c r="O21" s="7"/>
      <c r="P21" s="7"/>
    </row>
    <row r="22" spans="1:16" ht="20" x14ac:dyDescent="0.2">
      <c r="A22" s="5" t="s">
        <v>26</v>
      </c>
      <c r="B22" s="5">
        <v>33</v>
      </c>
      <c r="C22" s="5">
        <v>2.0637898699999999</v>
      </c>
      <c r="E22" s="7">
        <v>1.8440000000000002E-2</v>
      </c>
      <c r="F22" s="11"/>
      <c r="H22" s="8"/>
      <c r="I22" s="10"/>
      <c r="J22" s="10"/>
      <c r="K22" s="11"/>
      <c r="L22" s="7"/>
      <c r="M22" s="10"/>
      <c r="N22" s="10"/>
      <c r="O22" s="7"/>
      <c r="P22" s="7"/>
    </row>
    <row r="23" spans="1:16" ht="20" x14ac:dyDescent="0.2">
      <c r="A23" s="5" t="s">
        <v>31</v>
      </c>
      <c r="B23" s="5">
        <v>24</v>
      </c>
      <c r="C23" s="5">
        <v>1.50093809</v>
      </c>
      <c r="E23" s="7">
        <v>2.0979999999999999E-2</v>
      </c>
      <c r="H23" s="8"/>
      <c r="I23" s="10"/>
      <c r="J23" s="10"/>
      <c r="K23" s="11"/>
      <c r="L23" s="7"/>
      <c r="M23" s="10"/>
      <c r="N23" s="10"/>
      <c r="O23" s="7"/>
      <c r="P23" s="7"/>
    </row>
    <row r="24" spans="1:16" ht="20" x14ac:dyDescent="0.2">
      <c r="A24" s="5" t="s">
        <v>17</v>
      </c>
      <c r="B24" s="5">
        <v>51</v>
      </c>
      <c r="C24" s="5">
        <v>3.1894934300000002</v>
      </c>
      <c r="E24" s="7">
        <v>3.0079999999999999E-2</v>
      </c>
      <c r="H24" s="8"/>
      <c r="I24" s="10"/>
      <c r="J24" s="10"/>
      <c r="K24" s="11"/>
      <c r="L24" s="7"/>
      <c r="M24" s="10"/>
      <c r="N24" s="10"/>
      <c r="O24" s="7"/>
      <c r="P24" s="7"/>
    </row>
    <row r="25" spans="1:16" ht="20" x14ac:dyDescent="0.2">
      <c r="A25" s="5" t="s">
        <v>29</v>
      </c>
      <c r="B25" s="5">
        <v>28</v>
      </c>
      <c r="C25" s="5">
        <v>1.75109443</v>
      </c>
      <c r="E25" s="7">
        <v>1.703E-2</v>
      </c>
      <c r="H25" s="8"/>
      <c r="I25" s="10"/>
      <c r="J25" s="10"/>
      <c r="K25" s="11"/>
      <c r="L25" s="7"/>
      <c r="M25" s="10"/>
      <c r="N25" s="10"/>
      <c r="O25" s="7"/>
      <c r="P25" s="7"/>
    </row>
    <row r="26" spans="1:16" ht="20" x14ac:dyDescent="0.2">
      <c r="A26" s="5" t="s">
        <v>39</v>
      </c>
      <c r="B26" s="5">
        <v>14</v>
      </c>
      <c r="C26" s="5">
        <v>0.87554721999999996</v>
      </c>
      <c r="E26" s="7">
        <v>8.8400000000000006E-3</v>
      </c>
      <c r="H26" s="8"/>
      <c r="I26" s="10"/>
      <c r="J26" s="10"/>
      <c r="K26" s="11"/>
      <c r="L26" s="7"/>
      <c r="M26" s="10"/>
      <c r="N26" s="10"/>
      <c r="O26" s="7"/>
      <c r="P26" s="7"/>
    </row>
    <row r="27" spans="1:16" ht="20" x14ac:dyDescent="0.2">
      <c r="A27" s="5" t="s">
        <v>24</v>
      </c>
      <c r="B27" s="5">
        <v>38</v>
      </c>
      <c r="C27" s="5">
        <v>2.3764853000000001</v>
      </c>
      <c r="E27" s="7">
        <v>1.8370000000000001E-2</v>
      </c>
      <c r="F27" s="11"/>
      <c r="H27" s="8"/>
      <c r="I27" s="10"/>
      <c r="J27" s="10"/>
      <c r="K27" s="11"/>
      <c r="L27" s="7"/>
      <c r="M27" s="10"/>
      <c r="N27" s="10"/>
      <c r="O27" s="7"/>
      <c r="P27" s="7"/>
    </row>
    <row r="28" spans="1:16" ht="20" x14ac:dyDescent="0.2">
      <c r="A28" s="5" t="s">
        <v>48</v>
      </c>
      <c r="B28" s="5">
        <v>5</v>
      </c>
      <c r="C28" s="5">
        <v>0.31269543</v>
      </c>
      <c r="E28" s="7">
        <v>3.2399999999999998E-3</v>
      </c>
      <c r="H28" s="8"/>
      <c r="I28" s="11"/>
      <c r="J28" s="10"/>
      <c r="K28" s="9"/>
      <c r="L28" s="11"/>
      <c r="M28" s="11"/>
      <c r="N28" s="11"/>
      <c r="O28" s="7"/>
      <c r="P28" s="11"/>
    </row>
    <row r="29" spans="1:16" ht="20" x14ac:dyDescent="0.2">
      <c r="A29" s="5" t="s">
        <v>46</v>
      </c>
      <c r="B29" s="5">
        <v>9</v>
      </c>
      <c r="C29" s="5">
        <v>0.56285178000000002</v>
      </c>
      <c r="E29" s="7">
        <v>5.8500000000000002E-3</v>
      </c>
      <c r="H29" s="8"/>
      <c r="I29" s="10"/>
      <c r="J29" s="10"/>
      <c r="K29" s="11"/>
      <c r="L29" s="7"/>
      <c r="M29" s="10"/>
      <c r="N29" s="10"/>
      <c r="O29" s="7"/>
      <c r="P29" s="7"/>
    </row>
    <row r="30" spans="1:16" ht="20" x14ac:dyDescent="0.2">
      <c r="A30" s="5" t="s">
        <v>34</v>
      </c>
      <c r="B30" s="5">
        <v>22</v>
      </c>
      <c r="C30" s="5">
        <v>1.37585991</v>
      </c>
      <c r="E30" s="7">
        <v>9.2700000000000005E-3</v>
      </c>
      <c r="H30" s="8"/>
      <c r="I30" s="10"/>
      <c r="J30" s="10"/>
      <c r="K30" s="11"/>
      <c r="L30" s="7"/>
      <c r="M30" s="10"/>
      <c r="N30" s="10"/>
      <c r="O30" s="7"/>
      <c r="P30" s="7"/>
    </row>
    <row r="31" spans="1:16" ht="20" x14ac:dyDescent="0.2">
      <c r="A31" s="5" t="s">
        <v>49</v>
      </c>
      <c r="B31" s="5">
        <v>5</v>
      </c>
      <c r="C31" s="5">
        <v>0.31269543</v>
      </c>
      <c r="E31" s="7">
        <v>4.1099999999999999E-3</v>
      </c>
      <c r="F31" s="11"/>
      <c r="H31" s="8"/>
      <c r="I31" s="10"/>
      <c r="J31" s="10"/>
      <c r="K31" s="11"/>
      <c r="L31" s="7"/>
      <c r="M31" s="10"/>
      <c r="N31" s="10"/>
      <c r="O31" s="7"/>
      <c r="P31" s="7"/>
    </row>
    <row r="32" spans="1:16" ht="20" x14ac:dyDescent="0.2">
      <c r="A32" s="5" t="s">
        <v>19</v>
      </c>
      <c r="B32" s="5">
        <v>42</v>
      </c>
      <c r="C32" s="5">
        <v>2.6266416499999998</v>
      </c>
      <c r="E32" s="7">
        <v>2.7720000000000002E-2</v>
      </c>
      <c r="H32" s="8"/>
      <c r="I32" s="10"/>
      <c r="J32" s="10"/>
      <c r="K32" s="11"/>
      <c r="L32" s="7"/>
      <c r="M32" s="10"/>
      <c r="N32" s="10"/>
      <c r="O32" s="7"/>
      <c r="P32" s="7"/>
    </row>
    <row r="33" spans="1:16" ht="20" x14ac:dyDescent="0.2">
      <c r="A33" s="5" t="s">
        <v>47</v>
      </c>
      <c r="B33" s="5">
        <v>7</v>
      </c>
      <c r="C33" s="5">
        <v>0.43777360999999998</v>
      </c>
      <c r="E33" s="7">
        <v>6.3200000000000001E-3</v>
      </c>
      <c r="H33" s="8"/>
      <c r="I33" s="10"/>
      <c r="J33" s="10"/>
      <c r="K33" s="9"/>
      <c r="L33" s="11"/>
      <c r="M33" s="11"/>
      <c r="N33" s="11"/>
      <c r="O33" s="7"/>
      <c r="P33" s="11"/>
    </row>
    <row r="34" spans="1:16" ht="20" x14ac:dyDescent="0.2">
      <c r="A34" s="5" t="s">
        <v>10</v>
      </c>
      <c r="B34" s="5">
        <v>121</v>
      </c>
      <c r="C34" s="5">
        <v>7.5672295199999997</v>
      </c>
      <c r="E34" s="6">
        <v>6.0290000000000003E-2</v>
      </c>
      <c r="H34" s="8"/>
      <c r="I34" s="10"/>
      <c r="J34" s="10"/>
      <c r="K34" s="11"/>
      <c r="L34" s="7"/>
      <c r="M34" s="10"/>
      <c r="N34" s="10"/>
      <c r="O34" s="7"/>
      <c r="P34" s="7"/>
    </row>
    <row r="35" spans="1:16" ht="20" x14ac:dyDescent="0.2">
      <c r="A35" s="5" t="s">
        <v>18</v>
      </c>
      <c r="B35" s="5">
        <v>49</v>
      </c>
      <c r="C35" s="5">
        <v>3.0644152600000001</v>
      </c>
      <c r="E35" s="7">
        <v>3.116E-2</v>
      </c>
      <c r="H35" s="8"/>
      <c r="I35" s="10"/>
      <c r="J35" s="10"/>
      <c r="K35" s="11"/>
      <c r="L35" s="7"/>
      <c r="M35" s="10"/>
      <c r="N35" s="10"/>
      <c r="O35" s="7"/>
      <c r="P35" s="7"/>
    </row>
    <row r="36" spans="1:16" ht="20" x14ac:dyDescent="0.2">
      <c r="A36" s="5" t="s">
        <v>54</v>
      </c>
      <c r="B36" s="5">
        <v>3</v>
      </c>
      <c r="C36" s="5">
        <v>0.18761726000000001</v>
      </c>
      <c r="E36" s="7">
        <v>2.33E-3</v>
      </c>
      <c r="H36" s="8"/>
      <c r="I36" s="10"/>
      <c r="J36" s="10"/>
      <c r="K36" s="11"/>
      <c r="L36" s="7"/>
      <c r="M36" s="10"/>
      <c r="N36" s="10"/>
      <c r="O36" s="7"/>
      <c r="P36" s="7"/>
    </row>
    <row r="37" spans="1:16" ht="20" x14ac:dyDescent="0.2">
      <c r="A37" s="5" t="s">
        <v>16</v>
      </c>
      <c r="B37" s="5">
        <v>53</v>
      </c>
      <c r="C37" s="5">
        <v>3.3145716099999998</v>
      </c>
      <c r="E37" s="7">
        <v>3.5209999999999998E-2</v>
      </c>
      <c r="H37" s="8"/>
      <c r="I37" s="10"/>
      <c r="J37" s="10"/>
      <c r="K37" s="11"/>
      <c r="L37" s="7"/>
      <c r="M37" s="10"/>
      <c r="N37" s="10"/>
      <c r="O37" s="7"/>
      <c r="P37" s="7"/>
    </row>
    <row r="38" spans="1:16" ht="20" x14ac:dyDescent="0.2">
      <c r="A38" s="5" t="s">
        <v>35</v>
      </c>
      <c r="B38" s="5">
        <v>21</v>
      </c>
      <c r="C38" s="5">
        <v>1.3133208300000001</v>
      </c>
      <c r="E38" s="7">
        <v>1.1820000000000001E-2</v>
      </c>
      <c r="H38" s="8"/>
      <c r="I38" s="10"/>
      <c r="J38" s="10"/>
      <c r="K38" s="11"/>
      <c r="L38" s="7"/>
      <c r="M38" s="10"/>
      <c r="N38" s="10"/>
      <c r="O38" s="7"/>
      <c r="P38" s="7"/>
    </row>
    <row r="39" spans="1:16" ht="20" x14ac:dyDescent="0.2">
      <c r="A39" s="5" t="s">
        <v>33</v>
      </c>
      <c r="B39" s="5">
        <v>23</v>
      </c>
      <c r="C39" s="5">
        <v>1.438399</v>
      </c>
      <c r="E39" s="7">
        <v>1.265E-2</v>
      </c>
      <c r="H39" s="8"/>
      <c r="I39" s="11"/>
      <c r="J39" s="10"/>
      <c r="K39" s="9"/>
      <c r="L39" s="11"/>
      <c r="M39" s="11"/>
      <c r="N39" s="11"/>
      <c r="O39" s="7"/>
      <c r="P39" s="11"/>
    </row>
    <row r="40" spans="1:16" ht="20" x14ac:dyDescent="0.2">
      <c r="A40" s="5" t="s">
        <v>13</v>
      </c>
      <c r="B40" s="5">
        <v>82</v>
      </c>
      <c r="C40" s="5">
        <v>5.1282051299999996</v>
      </c>
      <c r="E40" s="7">
        <v>3.8809999999999997E-2</v>
      </c>
      <c r="H40" s="8"/>
      <c r="I40" s="10"/>
      <c r="J40" s="10"/>
      <c r="K40" s="11"/>
      <c r="L40" s="7"/>
      <c r="M40" s="10"/>
      <c r="N40" s="10"/>
      <c r="O40" s="7"/>
      <c r="P40" s="7"/>
    </row>
    <row r="41" spans="1:16" ht="20" x14ac:dyDescent="0.2">
      <c r="A41" s="5" t="s">
        <v>50</v>
      </c>
      <c r="B41" s="5">
        <v>5</v>
      </c>
      <c r="C41" s="5">
        <v>0.31269543</v>
      </c>
      <c r="E41" s="7">
        <v>3.2799999999999999E-3</v>
      </c>
      <c r="H41" s="8"/>
      <c r="I41" s="10"/>
      <c r="J41" s="10"/>
      <c r="K41" s="11"/>
      <c r="L41" s="7"/>
      <c r="M41" s="10"/>
      <c r="N41" s="10"/>
      <c r="O41" s="7"/>
      <c r="P41" s="7"/>
    </row>
    <row r="42" spans="1:16" ht="20" x14ac:dyDescent="0.2">
      <c r="A42" s="5" t="s">
        <v>36</v>
      </c>
      <c r="B42" s="5">
        <v>21</v>
      </c>
      <c r="C42" s="5">
        <v>1.3133208300000001</v>
      </c>
      <c r="E42" s="6">
        <v>1.528E-2</v>
      </c>
      <c r="H42" s="8"/>
      <c r="I42" s="10"/>
      <c r="J42" s="10"/>
      <c r="K42" s="11"/>
      <c r="L42" s="7"/>
      <c r="M42" s="10"/>
      <c r="N42" s="10"/>
      <c r="O42" s="7"/>
      <c r="P42" s="7"/>
    </row>
    <row r="43" spans="1:16" ht="20" x14ac:dyDescent="0.2">
      <c r="A43" s="5" t="s">
        <v>56</v>
      </c>
      <c r="B43" s="5">
        <v>2</v>
      </c>
      <c r="C43" s="5">
        <v>0.12507816999999999</v>
      </c>
      <c r="E43" s="7">
        <v>2.65E-3</v>
      </c>
      <c r="H43" s="8"/>
      <c r="I43" s="10"/>
      <c r="J43" s="10"/>
      <c r="K43" s="11"/>
      <c r="L43" s="7"/>
      <c r="M43" s="10"/>
      <c r="N43" s="10"/>
      <c r="O43" s="7"/>
      <c r="P43" s="7"/>
    </row>
    <row r="44" spans="1:16" ht="20" x14ac:dyDescent="0.2">
      <c r="A44" s="5" t="s">
        <v>27</v>
      </c>
      <c r="B44" s="5">
        <v>33</v>
      </c>
      <c r="C44" s="5">
        <v>2.0637898699999999</v>
      </c>
      <c r="E44" s="7">
        <v>2.0619999999999999E-2</v>
      </c>
      <c r="H44" s="8"/>
      <c r="I44" s="10"/>
      <c r="J44" s="10"/>
      <c r="K44" s="11"/>
      <c r="L44" s="7"/>
      <c r="M44" s="10"/>
      <c r="N44" s="10"/>
      <c r="O44" s="7"/>
      <c r="P44" s="7"/>
    </row>
    <row r="45" spans="1:16" ht="20" x14ac:dyDescent="0.2">
      <c r="A45" s="5" t="s">
        <v>11</v>
      </c>
      <c r="B45" s="5">
        <v>114</v>
      </c>
      <c r="C45" s="5">
        <v>7.1294559099999999</v>
      </c>
      <c r="E45" s="7">
        <v>8.6980000000000002E-2</v>
      </c>
      <c r="H45" s="8"/>
      <c r="I45" s="10"/>
      <c r="J45" s="10"/>
      <c r="K45" s="11"/>
      <c r="L45" s="7"/>
      <c r="M45" s="10"/>
      <c r="N45" s="10"/>
      <c r="O45" s="7"/>
      <c r="P45" s="7"/>
    </row>
    <row r="46" spans="1:16" ht="20" x14ac:dyDescent="0.2">
      <c r="A46" s="5" t="s">
        <v>44</v>
      </c>
      <c r="B46" s="5">
        <v>11</v>
      </c>
      <c r="C46" s="5">
        <v>0.68792995999999995</v>
      </c>
      <c r="E46" s="7">
        <v>9.7599999999999996E-3</v>
      </c>
      <c r="H46" s="8"/>
      <c r="I46" s="10"/>
      <c r="J46" s="10"/>
      <c r="K46" s="11"/>
      <c r="L46" s="7"/>
      <c r="M46" s="10"/>
      <c r="N46" s="10"/>
      <c r="O46" s="7"/>
      <c r="P46" s="7"/>
    </row>
    <row r="47" spans="1:16" ht="20" x14ac:dyDescent="0.2">
      <c r="A47" s="5" t="s">
        <v>57</v>
      </c>
      <c r="B47" s="5">
        <v>2</v>
      </c>
      <c r="C47" s="5">
        <v>0.12507816999999999</v>
      </c>
      <c r="E47" s="7">
        <v>1.92E-3</v>
      </c>
    </row>
    <row r="48" spans="1:16" ht="20" x14ac:dyDescent="0.2">
      <c r="A48" s="5" t="s">
        <v>25</v>
      </c>
      <c r="B48" s="5">
        <v>34</v>
      </c>
      <c r="C48" s="5">
        <v>2.1263289599999999</v>
      </c>
      <c r="E48" s="7">
        <v>2.5760000000000002E-2</v>
      </c>
    </row>
    <row r="49" spans="1:5" ht="20" x14ac:dyDescent="0.2">
      <c r="A49" s="5" t="s">
        <v>22</v>
      </c>
      <c r="B49" s="5">
        <v>39</v>
      </c>
      <c r="C49" s="5">
        <v>2.4390243900000002</v>
      </c>
      <c r="E49" s="7">
        <v>2.3E-2</v>
      </c>
    </row>
    <row r="50" spans="1:5" ht="20" x14ac:dyDescent="0.2">
      <c r="A50" s="5" t="s">
        <v>40</v>
      </c>
      <c r="B50" s="5">
        <v>14</v>
      </c>
      <c r="C50" s="5">
        <v>0.87554721999999996</v>
      </c>
      <c r="E50" s="7">
        <v>5.3499999999999997E-3</v>
      </c>
    </row>
    <row r="51" spans="1:5" ht="20" x14ac:dyDescent="0.2">
      <c r="A51" s="5" t="s">
        <v>30</v>
      </c>
      <c r="B51" s="5">
        <v>28</v>
      </c>
      <c r="C51" s="5">
        <v>1.75109443</v>
      </c>
      <c r="E51" s="7">
        <v>1.7590000000000001E-2</v>
      </c>
    </row>
    <row r="52" spans="1:5" ht="20" x14ac:dyDescent="0.2">
      <c r="A52" s="5" t="s">
        <v>59</v>
      </c>
      <c r="B52" s="5">
        <v>1</v>
      </c>
      <c r="C52" s="5">
        <v>6.2539090000000006E-2</v>
      </c>
      <c r="E52" s="7">
        <v>1.72E-3</v>
      </c>
    </row>
    <row r="53" spans="1:5" x14ac:dyDescent="0.2">
      <c r="A53" s="5"/>
    </row>
  </sheetData>
  <sortState xmlns:xlrd2="http://schemas.microsoft.com/office/spreadsheetml/2017/richdata2" ref="A2:E53">
    <sortCondition ref="A2:A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BA1BD-3BEC-9943-AC74-C8AC454F3470}">
  <dimension ref="A1:E13"/>
  <sheetViews>
    <sheetView tabSelected="1" workbookViewId="0">
      <selection activeCell="C15" sqref="C15"/>
    </sheetView>
  </sheetViews>
  <sheetFormatPr baseColWidth="10" defaultRowHeight="16" x14ac:dyDescent="0.2"/>
  <sheetData>
    <row r="1" spans="1:5" s="18" customFormat="1" x14ac:dyDescent="0.2">
      <c r="A1" s="17" t="s">
        <v>74</v>
      </c>
      <c r="B1" s="17" t="s">
        <v>62</v>
      </c>
      <c r="C1" s="17" t="s">
        <v>73</v>
      </c>
      <c r="D1" s="18" t="s">
        <v>72</v>
      </c>
      <c r="E1" s="18" t="s">
        <v>71</v>
      </c>
    </row>
    <row r="2" spans="1:5" x14ac:dyDescent="0.2">
      <c r="A2" s="12" t="s">
        <v>64</v>
      </c>
      <c r="B2" s="13">
        <v>78</v>
      </c>
      <c r="C2" s="15">
        <v>4.8750000000000002E-2</v>
      </c>
      <c r="D2">
        <v>24</v>
      </c>
      <c r="E2" s="15">
        <v>7.2</v>
      </c>
    </row>
    <row r="3" spans="1:5" x14ac:dyDescent="0.2">
      <c r="A3" s="12" t="s">
        <v>65</v>
      </c>
      <c r="B3" s="13">
        <v>266</v>
      </c>
      <c r="C3" s="15">
        <v>0.16625000000000001</v>
      </c>
      <c r="D3" s="14">
        <v>46.9</v>
      </c>
      <c r="E3" s="15">
        <v>14.2</v>
      </c>
    </row>
    <row r="4" spans="1:5" x14ac:dyDescent="0.2">
      <c r="A4" s="12" t="s">
        <v>66</v>
      </c>
      <c r="B4" s="13">
        <v>237</v>
      </c>
      <c r="C4" s="15">
        <v>0.14812500000000001</v>
      </c>
      <c r="D4" s="14">
        <v>62.1</v>
      </c>
      <c r="E4" s="15">
        <v>18.7</v>
      </c>
    </row>
    <row r="5" spans="1:5" x14ac:dyDescent="0.2">
      <c r="A5" s="12" t="s">
        <v>67</v>
      </c>
      <c r="B5" s="13">
        <v>6</v>
      </c>
      <c r="C5" s="15">
        <v>3.7499999999999999E-3</v>
      </c>
      <c r="D5" s="14">
        <v>3.5</v>
      </c>
      <c r="E5" s="15">
        <v>1.1000000000000001</v>
      </c>
    </row>
    <row r="6" spans="1:5" x14ac:dyDescent="0.2">
      <c r="A6" s="12" t="s">
        <v>68</v>
      </c>
      <c r="B6" s="13">
        <v>58</v>
      </c>
      <c r="C6" s="15">
        <v>3.6249999999999998E-2</v>
      </c>
      <c r="D6" s="14">
        <v>9.6999999999999993</v>
      </c>
      <c r="E6" s="15">
        <v>2.9</v>
      </c>
    </row>
    <row r="7" spans="1:5" x14ac:dyDescent="0.2">
      <c r="A7" s="12" t="s">
        <v>69</v>
      </c>
      <c r="B7" s="13">
        <v>5</v>
      </c>
      <c r="C7" s="15">
        <v>3.1250000000000002E-3</v>
      </c>
      <c r="D7" s="14">
        <v>1.6</v>
      </c>
      <c r="E7" s="15">
        <v>0.5</v>
      </c>
    </row>
    <row r="8" spans="1:5" x14ac:dyDescent="0.2">
      <c r="A8" s="12" t="s">
        <v>70</v>
      </c>
      <c r="B8" s="13">
        <v>1179</v>
      </c>
      <c r="C8" s="15">
        <v>0.73687499999999995</v>
      </c>
      <c r="D8" s="14">
        <v>2.3540000000000001</v>
      </c>
      <c r="E8" s="15">
        <v>71</v>
      </c>
    </row>
    <row r="9" spans="1:5" x14ac:dyDescent="0.2">
      <c r="A9" s="12"/>
      <c r="B9" s="13"/>
      <c r="C9" s="15"/>
      <c r="D9" s="14"/>
      <c r="E9" s="16"/>
    </row>
    <row r="10" spans="1:5" x14ac:dyDescent="0.2">
      <c r="A10" s="12"/>
      <c r="B10" s="13"/>
      <c r="C10" s="16"/>
      <c r="D10" s="14"/>
      <c r="E10" s="16"/>
    </row>
    <row r="13" spans="1:5" x14ac:dyDescent="0.2">
      <c r="A1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Race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Mensik</dc:creator>
  <cp:lastModifiedBy>Kristina Mensik</cp:lastModifiedBy>
  <dcterms:created xsi:type="dcterms:W3CDTF">2026-09-22T20:22:21Z</dcterms:created>
  <dcterms:modified xsi:type="dcterms:W3CDTF">2026-09-23T01:58:09Z</dcterms:modified>
</cp:coreProperties>
</file>