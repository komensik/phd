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m11/Documents/GitHub/phd/"/>
    </mc:Choice>
  </mc:AlternateContent>
  <xr:revisionPtr revIDLastSave="0" documentId="8_{CD87DBAA-A451-4240-AE17-9BD5756D1581}" xr6:coauthVersionLast="47" xr6:coauthVersionMax="47" xr10:uidLastSave="{00000000-0000-0000-0000-000000000000}"/>
  <bookViews>
    <workbookView xWindow="-33980" yWindow="-1640" windowWidth="11480" windowHeight="17400" xr2:uid="{B00AE03E-6114-604D-BCCB-A009DDE58F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1" i="1" l="1"/>
  <c r="H20" i="1"/>
  <c r="H19" i="1"/>
  <c r="H18" i="1"/>
  <c r="H17" i="1"/>
  <c r="H16" i="1"/>
  <c r="G21" i="1"/>
  <c r="G20" i="1"/>
  <c r="G19" i="1"/>
  <c r="G18" i="1"/>
  <c r="G17" i="1"/>
  <c r="G16" i="1"/>
  <c r="D21" i="1"/>
  <c r="D20" i="1"/>
  <c r="D19" i="1"/>
  <c r="D18" i="1"/>
  <c r="D17" i="1"/>
  <c r="D16" i="1"/>
  <c r="C19" i="1"/>
  <c r="C20" i="1"/>
  <c r="C21" i="1"/>
  <c r="C18" i="1"/>
  <c r="C16" i="1"/>
  <c r="C17" i="1"/>
  <c r="B11" i="1"/>
  <c r="B7" i="1"/>
  <c r="F2" i="1"/>
</calcChain>
</file>

<file path=xl/sharedStrings.xml><?xml version="1.0" encoding="utf-8"?>
<sst xmlns="http://schemas.openxmlformats.org/spreadsheetml/2006/main" count="9" uniqueCount="9">
  <si>
    <t>Women</t>
  </si>
  <si>
    <t>white</t>
  </si>
  <si>
    <t>black</t>
  </si>
  <si>
    <t>Pct of Women</t>
  </si>
  <si>
    <t>Pct of sample</t>
  </si>
  <si>
    <t>Total</t>
  </si>
  <si>
    <t>Men</t>
  </si>
  <si>
    <t>Pct of Men</t>
  </si>
  <si>
    <t>Pct of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</si>
</sst>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Lucida Grande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9" fontId="0" fillId="0" borderId="0" xfId="1" applyFont="1"/>
    <xf numFmtId="2" fontId="0" fillId="0" borderId="0" xfId="1" applyNumberFormat="1" applyFont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03FBB-9DA7-624E-86EA-33AA1B0CD4B3}">
  <dimension ref="A2:H21"/>
  <sheetViews>
    <sheetView tabSelected="1" workbookViewId="0">
      <selection activeCell="E30" sqref="E30"/>
    </sheetView>
  </sheetViews>
  <sheetFormatPr baseColWidth="10" defaultRowHeight="16" x14ac:dyDescent="0.2"/>
  <sheetData>
    <row r="2" spans="1:8" x14ac:dyDescent="0.2">
      <c r="B2" s="1">
        <v>757</v>
      </c>
      <c r="C2" s="1">
        <v>799</v>
      </c>
      <c r="D2" s="1">
        <v>36</v>
      </c>
      <c r="E2" s="1">
        <v>27</v>
      </c>
      <c r="F2">
        <f>B2+C2+D2+E2</f>
        <v>1619</v>
      </c>
    </row>
    <row r="7" spans="1:8" x14ac:dyDescent="0.2">
      <c r="B7">
        <f>B2+C2</f>
        <v>1556</v>
      </c>
    </row>
    <row r="11" spans="1:8" x14ac:dyDescent="0.2">
      <c r="B11">
        <f>1532+60</f>
        <v>1592</v>
      </c>
    </row>
    <row r="14" spans="1:8" x14ac:dyDescent="0.2">
      <c r="A14" s="4">
        <v>1599</v>
      </c>
      <c r="B14" s="4" t="s">
        <v>0</v>
      </c>
      <c r="C14" s="4" t="s">
        <v>3</v>
      </c>
      <c r="D14" s="4" t="s">
        <v>4</v>
      </c>
      <c r="F14" s="4" t="s">
        <v>6</v>
      </c>
      <c r="G14" s="4" t="s">
        <v>7</v>
      </c>
      <c r="H14" s="4" t="s">
        <v>8</v>
      </c>
    </row>
    <row r="15" spans="1:8" x14ac:dyDescent="0.2">
      <c r="A15" t="s">
        <v>5</v>
      </c>
      <c r="B15">
        <v>799</v>
      </c>
      <c r="F15">
        <v>757</v>
      </c>
    </row>
    <row r="16" spans="1:8" x14ac:dyDescent="0.2">
      <c r="A16" t="s">
        <v>1</v>
      </c>
      <c r="B16">
        <v>598</v>
      </c>
      <c r="C16">
        <f>B16/B15</f>
        <v>0.74843554443053817</v>
      </c>
      <c r="D16">
        <f>B16/A14</f>
        <v>0.37398373983739835</v>
      </c>
      <c r="F16">
        <v>548</v>
      </c>
      <c r="G16">
        <f>F16/F15</f>
        <v>0.7239101717305152</v>
      </c>
      <c r="H16">
        <f>F16/A14</f>
        <v>0.34271419637273298</v>
      </c>
    </row>
    <row r="17" spans="1:8" x14ac:dyDescent="0.2">
      <c r="A17" t="s">
        <v>2</v>
      </c>
      <c r="B17">
        <v>126</v>
      </c>
      <c r="C17" s="3">
        <f>B17/B15</f>
        <v>0.15769712140175218</v>
      </c>
      <c r="D17">
        <f>B17/A14</f>
        <v>7.879924953095685E-2</v>
      </c>
      <c r="F17">
        <v>133</v>
      </c>
      <c r="G17">
        <f>F17/F15</f>
        <v>0.17569352708058125</v>
      </c>
      <c r="H17">
        <f>F17/A14</f>
        <v>8.3176985616010002E-2</v>
      </c>
    </row>
    <row r="18" spans="1:8" x14ac:dyDescent="0.2">
      <c r="B18">
        <v>100</v>
      </c>
      <c r="C18" s="2">
        <f>B18/B16</f>
        <v>0.16722408026755853</v>
      </c>
      <c r="D18">
        <f>B18/A14</f>
        <v>6.2539086929330828E-2</v>
      </c>
      <c r="F18">
        <v>128</v>
      </c>
      <c r="G18">
        <f>F18/F15</f>
        <v>0.1690885072655218</v>
      </c>
      <c r="H18">
        <f>F18/A14</f>
        <v>8.0050031269543465E-2</v>
      </c>
    </row>
    <row r="19" spans="1:8" x14ac:dyDescent="0.2">
      <c r="B19">
        <v>43</v>
      </c>
      <c r="C19" s="2">
        <f t="shared" ref="C19:C21" si="0">B19/B17</f>
        <v>0.34126984126984128</v>
      </c>
      <c r="D19">
        <f>B19/A14</f>
        <v>2.6891807379612259E-2</v>
      </c>
      <c r="F19">
        <v>32</v>
      </c>
      <c r="G19">
        <f>F19/F15</f>
        <v>4.2272126816380449E-2</v>
      </c>
      <c r="H19">
        <f>F19/A14</f>
        <v>2.0012507817385866E-2</v>
      </c>
    </row>
    <row r="20" spans="1:8" x14ac:dyDescent="0.2">
      <c r="B20">
        <v>28</v>
      </c>
      <c r="C20" s="2">
        <f t="shared" si="0"/>
        <v>0.28000000000000003</v>
      </c>
      <c r="D20">
        <f>B20/A14</f>
        <v>1.7510944340212633E-2</v>
      </c>
      <c r="F20">
        <v>27</v>
      </c>
      <c r="G20">
        <f>F20/F15</f>
        <v>3.5667107001321002E-2</v>
      </c>
      <c r="H20">
        <f>F20/A14</f>
        <v>1.6885553470919325E-2</v>
      </c>
    </row>
    <row r="21" spans="1:8" x14ac:dyDescent="0.2">
      <c r="B21">
        <v>15</v>
      </c>
      <c r="C21" s="2">
        <f t="shared" si="0"/>
        <v>0.34883720930232559</v>
      </c>
      <c r="D21">
        <f>B21/A14</f>
        <v>9.3808630393996256E-3</v>
      </c>
      <c r="F21">
        <v>14</v>
      </c>
      <c r="G21">
        <f>F21/F15</f>
        <v>1.8494055482166448E-2</v>
      </c>
      <c r="H21">
        <f>F21/A14</f>
        <v>8.7554721701063164E-3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Mensik</dc:creator>
  <cp:lastModifiedBy>Kristina Mensik</cp:lastModifiedBy>
  <dcterms:created xsi:type="dcterms:W3CDTF">2026-09-22T20:22:21Z</dcterms:created>
  <dcterms:modified xsi:type="dcterms:W3CDTF">2026-09-22T20:57:42Z</dcterms:modified>
</cp:coreProperties>
</file>