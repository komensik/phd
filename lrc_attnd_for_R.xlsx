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om11/Documents/GitHub/phd/"/>
    </mc:Choice>
  </mc:AlternateContent>
  <xr:revisionPtr revIDLastSave="0" documentId="13_ncr:1_{C10B3B8A-C766-EC4C-9EC8-7E4C0D60740E}" xr6:coauthVersionLast="47" xr6:coauthVersionMax="47" xr10:uidLastSave="{00000000-0000-0000-0000-000000000000}"/>
  <bookViews>
    <workbookView xWindow="0" yWindow="680" windowWidth="11340" windowHeight="19780" xr2:uid="{B94DB17C-919E-1C4A-B529-5E14F6099E2A}"/>
  </bookViews>
  <sheets>
    <sheet name="Sheet1" sheetId="1" r:id="rId1"/>
    <sheet name="essay 3" sheetId="3" r:id="rId2"/>
    <sheet name="Essay 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0" i="1" l="1"/>
  <c r="W11" i="1"/>
  <c r="W12" i="1"/>
  <c r="W31" i="1"/>
  <c r="U40" i="1"/>
  <c r="U3" i="1"/>
  <c r="V3" i="1" s="1"/>
  <c r="U4" i="1"/>
  <c r="V4" i="1" s="1"/>
  <c r="U5" i="1"/>
  <c r="V5" i="1" s="1"/>
  <c r="U6" i="1"/>
  <c r="V6" i="1" s="1"/>
  <c r="U7" i="1"/>
  <c r="V7" i="1" s="1"/>
  <c r="U8" i="1"/>
  <c r="W8" i="1" s="1"/>
  <c r="U9" i="1"/>
  <c r="V9" i="1" s="1"/>
  <c r="U10" i="1"/>
  <c r="V10" i="1" s="1"/>
  <c r="U11" i="1"/>
  <c r="V11" i="1" s="1"/>
  <c r="U12" i="1"/>
  <c r="V12" i="1" s="1"/>
  <c r="U13" i="1"/>
  <c r="W13" i="1" s="1"/>
  <c r="U14" i="1"/>
  <c r="V14" i="1" s="1"/>
  <c r="U15" i="1"/>
  <c r="V15" i="1" s="1"/>
  <c r="U16" i="1"/>
  <c r="V16" i="1" s="1"/>
  <c r="U17" i="1"/>
  <c r="V17" i="1" s="1"/>
  <c r="U18" i="1"/>
  <c r="V18" i="1" s="1"/>
  <c r="U19" i="1"/>
  <c r="V19" i="1" s="1"/>
  <c r="U20" i="1"/>
  <c r="W20" i="1" s="1"/>
  <c r="U21" i="1"/>
  <c r="W21" i="1" s="1"/>
  <c r="U22" i="1"/>
  <c r="W22" i="1" s="1"/>
  <c r="U23" i="1"/>
  <c r="W23" i="1" s="1"/>
  <c r="U24" i="1"/>
  <c r="V24" i="1" s="1"/>
  <c r="U25" i="1"/>
  <c r="V25" i="1" s="1"/>
  <c r="U26" i="1"/>
  <c r="V26" i="1" s="1"/>
  <c r="U27" i="1"/>
  <c r="V27" i="1" s="1"/>
  <c r="U28" i="1"/>
  <c r="W28" i="1" s="1"/>
  <c r="U29" i="1"/>
  <c r="V29" i="1" s="1"/>
  <c r="U30" i="1"/>
  <c r="V30" i="1" s="1"/>
  <c r="U31" i="1"/>
  <c r="V31" i="1" s="1"/>
  <c r="U32" i="1"/>
  <c r="V32" i="1" s="1"/>
  <c r="U33" i="1"/>
  <c r="W33" i="1" s="1"/>
  <c r="U34" i="1"/>
  <c r="V34" i="1" s="1"/>
  <c r="U35" i="1"/>
  <c r="V35" i="1" s="1"/>
  <c r="U36" i="1"/>
  <c r="V36" i="1" s="1"/>
  <c r="U37" i="1"/>
  <c r="V37" i="1" s="1"/>
  <c r="U38" i="1"/>
  <c r="V38" i="1" s="1"/>
  <c r="U39" i="1"/>
  <c r="V39" i="1" s="1"/>
  <c r="U2" i="1"/>
  <c r="W2" i="1" s="1"/>
  <c r="C41" i="2"/>
  <c r="H41" i="2"/>
  <c r="I41" i="2"/>
  <c r="J41" i="2"/>
  <c r="G41" i="2"/>
  <c r="F41" i="2"/>
  <c r="E41" i="2"/>
  <c r="D41" i="2"/>
  <c r="W32" i="1" l="1"/>
  <c r="W30" i="1"/>
  <c r="V22" i="1"/>
  <c r="V21" i="1"/>
  <c r="V20" i="1"/>
  <c r="V23" i="1"/>
  <c r="V28" i="1"/>
  <c r="W38" i="1"/>
  <c r="W37" i="1"/>
  <c r="W19" i="1"/>
  <c r="W18" i="1"/>
  <c r="W17" i="1"/>
  <c r="W29" i="1"/>
  <c r="V8" i="1"/>
  <c r="W27" i="1"/>
  <c r="W9" i="1"/>
  <c r="V2" i="1"/>
  <c r="W39" i="1"/>
  <c r="W7" i="1"/>
  <c r="W6" i="1"/>
  <c r="W5" i="1"/>
  <c r="V33" i="1"/>
  <c r="W26" i="1"/>
  <c r="W16" i="1"/>
  <c r="V13" i="1"/>
  <c r="W34" i="1"/>
  <c r="W24" i="1"/>
  <c r="W14" i="1"/>
  <c r="W4" i="1"/>
  <c r="W36" i="1"/>
  <c r="W35" i="1"/>
  <c r="W25" i="1"/>
  <c r="W15" i="1"/>
  <c r="W3" i="1"/>
</calcChain>
</file>

<file path=xl/sharedStrings.xml><?xml version="1.0" encoding="utf-8"?>
<sst xmlns="http://schemas.openxmlformats.org/spreadsheetml/2006/main" count="454" uniqueCount="122">
  <si>
    <t>Avery</t>
  </si>
  <si>
    <t>Armstrong</t>
  </si>
  <si>
    <t>Carolina</t>
  </si>
  <si>
    <t>Barroso</t>
  </si>
  <si>
    <t>Zalina</t>
  </si>
  <si>
    <t>Bell</t>
  </si>
  <si>
    <t>Sophia</t>
  </si>
  <si>
    <t>Brokenshire</t>
  </si>
  <si>
    <t>Nyteeh</t>
  </si>
  <si>
    <t>Camara</t>
  </si>
  <si>
    <t>Reagan</t>
  </si>
  <si>
    <t>Ciabattoni</t>
  </si>
  <si>
    <t>Gabe</t>
  </si>
  <si>
    <t>Cooper</t>
  </si>
  <si>
    <t>Caleb</t>
  </si>
  <si>
    <t>Dorris</t>
  </si>
  <si>
    <t>Mia</t>
  </si>
  <si>
    <t>Duran</t>
  </si>
  <si>
    <t>Ava</t>
  </si>
  <si>
    <t>Epstein</t>
  </si>
  <si>
    <t>Poppy</t>
  </si>
  <si>
    <t>Farrell</t>
  </si>
  <si>
    <t>Michael</t>
  </si>
  <si>
    <t>Ferneini</t>
  </si>
  <si>
    <t>Ricky</t>
  </si>
  <si>
    <t>Figueroa-Carrillo</t>
  </si>
  <si>
    <t>Luz</t>
  </si>
  <si>
    <t>Fontana-Mansilla</t>
  </si>
  <si>
    <t>Isaac</t>
  </si>
  <si>
    <t>Greenberg</t>
  </si>
  <si>
    <t>Carina</t>
  </si>
  <si>
    <t>Kehoe</t>
  </si>
  <si>
    <t>Jiwan</t>
  </si>
  <si>
    <t>Kim</t>
  </si>
  <si>
    <t>Christian</t>
  </si>
  <si>
    <t>Linen</t>
  </si>
  <si>
    <t>Tamia</t>
  </si>
  <si>
    <t>Mayfield</t>
  </si>
  <si>
    <t>Akash</t>
  </si>
  <si>
    <t>Mishra</t>
  </si>
  <si>
    <t>Noor</t>
  </si>
  <si>
    <t>Nazir</t>
  </si>
  <si>
    <t>Chloe</t>
  </si>
  <si>
    <t>Patricof</t>
  </si>
  <si>
    <t>Sloan</t>
  </si>
  <si>
    <t>Peterson</t>
  </si>
  <si>
    <t>Nadia</t>
  </si>
  <si>
    <t>Preci</t>
  </si>
  <si>
    <t>Kiana</t>
  </si>
  <si>
    <t>Raoufiniai</t>
  </si>
  <si>
    <t>Clark</t>
  </si>
  <si>
    <t>Raustiala</t>
  </si>
  <si>
    <t>Lizeth</t>
  </si>
  <si>
    <t>Schwartz</t>
  </si>
  <si>
    <t>Jonah</t>
  </si>
  <si>
    <t>Schwarz</t>
  </si>
  <si>
    <t>Stephanie</t>
  </si>
  <si>
    <t>Sensel</t>
  </si>
  <si>
    <t>Amalie</t>
  </si>
  <si>
    <t>Seth</t>
  </si>
  <si>
    <t>Ariela</t>
  </si>
  <si>
    <t>Shuchman</t>
  </si>
  <si>
    <t>Ella</t>
  </si>
  <si>
    <t>Stastney</t>
  </si>
  <si>
    <t>Tess</t>
  </si>
  <si>
    <t>Taetle</t>
  </si>
  <si>
    <t>Charles</t>
  </si>
  <si>
    <t>Truesdale</t>
  </si>
  <si>
    <t>Cynthea</t>
  </si>
  <si>
    <t>Wang</t>
  </si>
  <si>
    <t>Terrence</t>
  </si>
  <si>
    <t>Ware</t>
  </si>
  <si>
    <t>Brielle</t>
  </si>
  <si>
    <t>Widelo</t>
  </si>
  <si>
    <t>Rocha Rocha</t>
  </si>
  <si>
    <t>First</t>
  </si>
  <si>
    <t>Last</t>
  </si>
  <si>
    <t>Marx</t>
  </si>
  <si>
    <t>FDR</t>
  </si>
  <si>
    <t>Rawls</t>
  </si>
  <si>
    <t>Okin</t>
  </si>
  <si>
    <t>Frye</t>
  </si>
  <si>
    <t>MLK</t>
  </si>
  <si>
    <t>Kumlicka</t>
  </si>
  <si>
    <t>X</t>
  </si>
  <si>
    <t>Total/Thinker</t>
  </si>
  <si>
    <t>WC</t>
  </si>
  <si>
    <t>Note</t>
  </si>
  <si>
    <t>KM printed</t>
  </si>
  <si>
    <t>Submitted Hard Copy</t>
  </si>
  <si>
    <t>No</t>
  </si>
  <si>
    <t>Yes</t>
  </si>
  <si>
    <t>x</t>
  </si>
  <si>
    <t>to March 19</t>
  </si>
  <si>
    <t>Div 13</t>
  </si>
  <si>
    <t>TEST</t>
  </si>
  <si>
    <t>div 22</t>
  </si>
  <si>
    <t>Generous Letter</t>
  </si>
  <si>
    <t>C</t>
  </si>
  <si>
    <t>D</t>
  </si>
  <si>
    <t>F</t>
  </si>
  <si>
    <t>A</t>
  </si>
  <si>
    <t>B</t>
  </si>
  <si>
    <t>B+</t>
  </si>
  <si>
    <t>berry</t>
  </si>
  <si>
    <t>hazony</t>
  </si>
  <si>
    <t>oak</t>
  </si>
  <si>
    <t>burke</t>
  </si>
  <si>
    <t>d</t>
  </si>
  <si>
    <t>deneen</t>
  </si>
  <si>
    <t>deen</t>
  </si>
  <si>
    <t>lowry</t>
  </si>
  <si>
    <t>de</t>
  </si>
  <si>
    <t>93/94</t>
  </si>
  <si>
    <t>92/90</t>
  </si>
  <si>
    <t>for AM</t>
  </si>
  <si>
    <t>AM</t>
  </si>
  <si>
    <t>85???</t>
  </si>
  <si>
    <t>XXX</t>
  </si>
  <si>
    <t>87-90</t>
  </si>
  <si>
    <t>91 or 93</t>
  </si>
  <si>
    <t>in class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</si>
</sst>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1" fillId="2" borderId="0" xfId="0" applyFont="1" applyFill="1"/>
    <xf numFmtId="0" fontId="3" fillId="0" borderId="0" xfId="0" applyFont="1"/>
    <xf numFmtId="16" fontId="3" fillId="0" borderId="0" xfId="0" applyNumberFormat="1" applyFont="1"/>
    <xf numFmtId="16" fontId="3" fillId="2" borderId="0" xfId="0" applyNumberFormat="1" applyFont="1" applyFill="1"/>
    <xf numFmtId="9" fontId="0" fillId="2" borderId="0" xfId="1" applyFont="1" applyFill="1"/>
    <xf numFmtId="0" fontId="4" fillId="0" borderId="0" xfId="0" applyFont="1"/>
    <xf numFmtId="0" fontId="5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6CF09-2AEF-AC40-8AFF-A105DCB34E0C}">
  <dimension ref="A1:AJ40"/>
  <sheetViews>
    <sheetView tabSelected="1" workbookViewId="0">
      <selection activeCell="A43" sqref="A43"/>
    </sheetView>
  </sheetViews>
  <sheetFormatPr baseColWidth="10" defaultRowHeight="16" x14ac:dyDescent="0.2"/>
  <cols>
    <col min="1" max="1" width="26" customWidth="1"/>
    <col min="2" max="2" width="10.6640625" customWidth="1"/>
    <col min="3" max="20" width="10.83203125" hidden="1" customWidth="1"/>
    <col min="21" max="24" width="23.83203125" hidden="1" customWidth="1"/>
    <col min="25" max="31" width="0" hidden="1" customWidth="1"/>
    <col min="32" max="32" width="7.1640625" hidden="1" customWidth="1"/>
    <col min="33" max="33" width="15.5" customWidth="1"/>
  </cols>
  <sheetData>
    <row r="1" spans="1:36" s="3" customFormat="1" x14ac:dyDescent="0.2">
      <c r="A1" s="3" t="s">
        <v>75</v>
      </c>
      <c r="B1" s="3" t="s">
        <v>76</v>
      </c>
      <c r="C1" s="4">
        <v>46030</v>
      </c>
      <c r="D1" s="4">
        <v>46035</v>
      </c>
      <c r="E1" s="4">
        <v>46037</v>
      </c>
      <c r="F1" s="4">
        <v>46042</v>
      </c>
      <c r="G1" s="4">
        <v>46044</v>
      </c>
      <c r="H1" s="4">
        <v>46049</v>
      </c>
      <c r="I1" s="4">
        <v>46051</v>
      </c>
      <c r="J1" s="4">
        <v>46056</v>
      </c>
      <c r="K1" s="4">
        <v>46058</v>
      </c>
      <c r="L1" s="4">
        <v>46063</v>
      </c>
      <c r="M1" s="4">
        <v>46065</v>
      </c>
      <c r="N1" s="4">
        <v>46070</v>
      </c>
      <c r="O1" s="4">
        <v>46072</v>
      </c>
      <c r="P1" s="4">
        <v>46077</v>
      </c>
      <c r="Q1" s="4">
        <v>46079</v>
      </c>
      <c r="R1" s="4">
        <v>46084</v>
      </c>
      <c r="S1" s="4">
        <v>46086</v>
      </c>
      <c r="T1" s="4">
        <v>46098</v>
      </c>
      <c r="U1" s="5" t="s">
        <v>93</v>
      </c>
      <c r="V1" s="5" t="s">
        <v>94</v>
      </c>
      <c r="W1" s="5" t="s">
        <v>96</v>
      </c>
      <c r="X1" s="5" t="s">
        <v>97</v>
      </c>
      <c r="Y1" s="4">
        <v>46100</v>
      </c>
      <c r="Z1" s="4">
        <v>46105</v>
      </c>
      <c r="AA1" s="4">
        <v>46107</v>
      </c>
      <c r="AB1" s="4">
        <v>46112</v>
      </c>
      <c r="AC1" s="4">
        <v>46114</v>
      </c>
      <c r="AD1" s="4">
        <v>46117</v>
      </c>
      <c r="AE1" s="4">
        <v>46119</v>
      </c>
      <c r="AF1" s="4">
        <v>46121</v>
      </c>
      <c r="AG1" s="4">
        <v>46126</v>
      </c>
      <c r="AH1" s="4">
        <v>46128</v>
      </c>
      <c r="AI1" s="4">
        <v>46133</v>
      </c>
      <c r="AJ1" s="4">
        <v>46142</v>
      </c>
    </row>
    <row r="2" spans="1:36" x14ac:dyDescent="0.2">
      <c r="A2" t="s">
        <v>0</v>
      </c>
      <c r="B2" t="s">
        <v>1</v>
      </c>
      <c r="D2">
        <v>2</v>
      </c>
      <c r="G2">
        <v>2</v>
      </c>
      <c r="I2">
        <v>2</v>
      </c>
      <c r="J2">
        <v>2</v>
      </c>
      <c r="K2">
        <v>2</v>
      </c>
      <c r="L2">
        <v>2</v>
      </c>
      <c r="M2">
        <v>2</v>
      </c>
      <c r="P2">
        <v>1</v>
      </c>
      <c r="U2" s="1">
        <f t="shared" ref="U2:U40" si="0">SUM(C2:T2)</f>
        <v>15</v>
      </c>
      <c r="V2" s="6">
        <f>U2/36</f>
        <v>0.41666666666666669</v>
      </c>
      <c r="W2" s="6">
        <f xml:space="preserve"> U2/22</f>
        <v>0.68181818181818177</v>
      </c>
      <c r="X2" s="6" t="s">
        <v>98</v>
      </c>
      <c r="AG2">
        <v>2</v>
      </c>
    </row>
    <row r="3" spans="1:36" x14ac:dyDescent="0.2">
      <c r="A3" t="s">
        <v>2</v>
      </c>
      <c r="B3" t="s">
        <v>3</v>
      </c>
      <c r="D3">
        <v>2</v>
      </c>
      <c r="K3">
        <v>1</v>
      </c>
      <c r="L3">
        <v>2</v>
      </c>
      <c r="N3">
        <v>1</v>
      </c>
      <c r="O3">
        <v>2</v>
      </c>
      <c r="Q3">
        <v>2</v>
      </c>
      <c r="R3">
        <v>2</v>
      </c>
      <c r="U3" s="1">
        <f t="shared" si="0"/>
        <v>12</v>
      </c>
      <c r="V3" s="6">
        <f t="shared" ref="V3:V39" si="1">U3/36</f>
        <v>0.33333333333333331</v>
      </c>
      <c r="W3" s="6">
        <f t="shared" ref="W3:W39" si="2" xml:space="preserve"> U3/22</f>
        <v>0.54545454545454541</v>
      </c>
      <c r="X3" s="6" t="s">
        <v>99</v>
      </c>
      <c r="AG3">
        <v>2</v>
      </c>
    </row>
    <row r="4" spans="1:36" x14ac:dyDescent="0.2">
      <c r="A4" t="s">
        <v>4</v>
      </c>
      <c r="B4" t="s">
        <v>5</v>
      </c>
      <c r="I4">
        <v>2</v>
      </c>
      <c r="L4">
        <v>2</v>
      </c>
      <c r="Q4">
        <v>2</v>
      </c>
      <c r="S4">
        <v>2</v>
      </c>
      <c r="U4" s="1">
        <f t="shared" si="0"/>
        <v>8</v>
      </c>
      <c r="V4" s="6">
        <f t="shared" si="1"/>
        <v>0.22222222222222221</v>
      </c>
      <c r="W4" s="6">
        <f t="shared" si="2"/>
        <v>0.36363636363636365</v>
      </c>
      <c r="X4" s="6" t="s">
        <v>100</v>
      </c>
    </row>
    <row r="5" spans="1:36" x14ac:dyDescent="0.2">
      <c r="A5" t="s">
        <v>6</v>
      </c>
      <c r="B5" t="s">
        <v>7</v>
      </c>
      <c r="E5">
        <v>1</v>
      </c>
      <c r="G5">
        <v>1</v>
      </c>
      <c r="K5">
        <v>2</v>
      </c>
      <c r="L5">
        <v>2</v>
      </c>
      <c r="N5">
        <v>2</v>
      </c>
      <c r="O5">
        <v>2</v>
      </c>
      <c r="P5">
        <v>2</v>
      </c>
      <c r="Q5">
        <v>2</v>
      </c>
      <c r="R5">
        <v>2</v>
      </c>
      <c r="S5">
        <v>2</v>
      </c>
      <c r="T5">
        <v>2</v>
      </c>
      <c r="U5" s="1">
        <f t="shared" si="0"/>
        <v>20</v>
      </c>
      <c r="V5" s="6">
        <f t="shared" si="1"/>
        <v>0.55555555555555558</v>
      </c>
      <c r="W5" s="6">
        <f t="shared" si="2"/>
        <v>0.90909090909090906</v>
      </c>
      <c r="X5" s="6" t="s">
        <v>101</v>
      </c>
    </row>
    <row r="6" spans="1:36" x14ac:dyDescent="0.2">
      <c r="A6" t="s">
        <v>8</v>
      </c>
      <c r="B6" t="s">
        <v>9</v>
      </c>
      <c r="I6">
        <v>1</v>
      </c>
      <c r="J6">
        <v>2</v>
      </c>
      <c r="M6">
        <v>2</v>
      </c>
      <c r="N6">
        <v>2</v>
      </c>
      <c r="O6">
        <v>2</v>
      </c>
      <c r="P6">
        <v>2</v>
      </c>
      <c r="Q6">
        <v>2</v>
      </c>
      <c r="R6">
        <v>2</v>
      </c>
      <c r="S6">
        <v>2</v>
      </c>
      <c r="U6" s="1">
        <f t="shared" si="0"/>
        <v>17</v>
      </c>
      <c r="V6" s="6">
        <f t="shared" si="1"/>
        <v>0.47222222222222221</v>
      </c>
      <c r="W6" s="6">
        <f t="shared" si="2"/>
        <v>0.77272727272727271</v>
      </c>
      <c r="X6" s="6" t="s">
        <v>102</v>
      </c>
      <c r="AG6">
        <v>2</v>
      </c>
    </row>
    <row r="7" spans="1:36" x14ac:dyDescent="0.2">
      <c r="A7" t="s">
        <v>10</v>
      </c>
      <c r="B7" t="s">
        <v>11</v>
      </c>
      <c r="D7">
        <v>2</v>
      </c>
      <c r="U7" s="1">
        <f t="shared" si="0"/>
        <v>2</v>
      </c>
      <c r="V7" s="6">
        <f t="shared" si="1"/>
        <v>5.5555555555555552E-2</v>
      </c>
      <c r="W7" s="6">
        <f t="shared" si="2"/>
        <v>9.0909090909090912E-2</v>
      </c>
      <c r="X7" s="6" t="s">
        <v>100</v>
      </c>
    </row>
    <row r="8" spans="1:36" x14ac:dyDescent="0.2">
      <c r="A8" t="s">
        <v>12</v>
      </c>
      <c r="B8" t="s">
        <v>13</v>
      </c>
      <c r="N8">
        <v>2</v>
      </c>
      <c r="P8">
        <v>1</v>
      </c>
      <c r="U8" s="1">
        <f t="shared" si="0"/>
        <v>3</v>
      </c>
      <c r="V8" s="6">
        <f t="shared" si="1"/>
        <v>8.3333333333333329E-2</v>
      </c>
      <c r="W8" s="6">
        <f t="shared" si="2"/>
        <v>0.13636363636363635</v>
      </c>
      <c r="X8" s="6" t="s">
        <v>100</v>
      </c>
    </row>
    <row r="9" spans="1:36" x14ac:dyDescent="0.2">
      <c r="A9" t="s">
        <v>14</v>
      </c>
      <c r="B9" t="s">
        <v>15</v>
      </c>
      <c r="J9">
        <v>2</v>
      </c>
      <c r="L9">
        <v>2</v>
      </c>
      <c r="N9">
        <v>2</v>
      </c>
      <c r="O9">
        <v>2</v>
      </c>
      <c r="Q9">
        <v>2</v>
      </c>
      <c r="R9">
        <v>2</v>
      </c>
      <c r="T9">
        <v>2</v>
      </c>
      <c r="U9" s="1">
        <f t="shared" si="0"/>
        <v>14</v>
      </c>
      <c r="V9" s="6">
        <f t="shared" si="1"/>
        <v>0.3888888888888889</v>
      </c>
      <c r="W9" s="6">
        <f t="shared" si="2"/>
        <v>0.63636363636363635</v>
      </c>
      <c r="X9" s="6" t="s">
        <v>99</v>
      </c>
      <c r="AG9">
        <v>10</v>
      </c>
    </row>
    <row r="10" spans="1:36" x14ac:dyDescent="0.2">
      <c r="A10" t="s">
        <v>16</v>
      </c>
      <c r="B10" t="s">
        <v>17</v>
      </c>
      <c r="J10">
        <v>2</v>
      </c>
      <c r="L10">
        <v>2</v>
      </c>
      <c r="Q10">
        <v>2</v>
      </c>
      <c r="U10" s="1">
        <f t="shared" si="0"/>
        <v>6</v>
      </c>
      <c r="V10" s="6">
        <f t="shared" si="1"/>
        <v>0.16666666666666666</v>
      </c>
      <c r="W10" s="6">
        <f t="shared" si="2"/>
        <v>0.27272727272727271</v>
      </c>
      <c r="X10" s="6" t="s">
        <v>100</v>
      </c>
      <c r="AG10" t="s">
        <v>121</v>
      </c>
    </row>
    <row r="11" spans="1:36" x14ac:dyDescent="0.2">
      <c r="A11" t="s">
        <v>18</v>
      </c>
      <c r="B11" t="s">
        <v>19</v>
      </c>
      <c r="E11">
        <v>1</v>
      </c>
      <c r="G11">
        <v>2</v>
      </c>
      <c r="J11">
        <v>2</v>
      </c>
      <c r="K11">
        <v>2</v>
      </c>
      <c r="N11">
        <v>2</v>
      </c>
      <c r="O11">
        <v>2</v>
      </c>
      <c r="Q11">
        <v>2</v>
      </c>
      <c r="S11">
        <v>2</v>
      </c>
      <c r="T11">
        <v>2</v>
      </c>
      <c r="U11" s="1">
        <f t="shared" si="0"/>
        <v>17</v>
      </c>
      <c r="V11" s="6">
        <f t="shared" si="1"/>
        <v>0.47222222222222221</v>
      </c>
      <c r="W11" s="6">
        <f t="shared" si="2"/>
        <v>0.77272727272727271</v>
      </c>
      <c r="X11" s="6" t="s">
        <v>102</v>
      </c>
      <c r="AG11">
        <v>2</v>
      </c>
    </row>
    <row r="12" spans="1:36" x14ac:dyDescent="0.2">
      <c r="A12" t="s">
        <v>20</v>
      </c>
      <c r="B12" t="s">
        <v>21</v>
      </c>
      <c r="I12">
        <v>2</v>
      </c>
      <c r="J12">
        <v>2</v>
      </c>
      <c r="L12">
        <v>2</v>
      </c>
      <c r="M12">
        <v>2</v>
      </c>
      <c r="N12">
        <v>2</v>
      </c>
      <c r="O12">
        <v>2</v>
      </c>
      <c r="Q12">
        <v>2</v>
      </c>
      <c r="R12">
        <v>2</v>
      </c>
      <c r="S12">
        <v>2</v>
      </c>
      <c r="T12">
        <v>2</v>
      </c>
      <c r="U12" s="1">
        <f t="shared" si="0"/>
        <v>20</v>
      </c>
      <c r="V12" s="6">
        <f t="shared" si="1"/>
        <v>0.55555555555555558</v>
      </c>
      <c r="W12" s="6">
        <f t="shared" si="2"/>
        <v>0.90909090909090906</v>
      </c>
      <c r="X12" s="6" t="s">
        <v>101</v>
      </c>
      <c r="AG12">
        <v>2</v>
      </c>
    </row>
    <row r="13" spans="1:36" x14ac:dyDescent="0.2">
      <c r="A13" t="s">
        <v>22</v>
      </c>
      <c r="B13" t="s">
        <v>23</v>
      </c>
      <c r="D13">
        <v>2</v>
      </c>
      <c r="J13">
        <v>1</v>
      </c>
      <c r="K13">
        <v>2</v>
      </c>
      <c r="L13">
        <v>2</v>
      </c>
      <c r="O13">
        <v>2</v>
      </c>
      <c r="P13">
        <v>2</v>
      </c>
      <c r="R13">
        <v>2</v>
      </c>
      <c r="S13">
        <v>2</v>
      </c>
      <c r="T13">
        <v>2</v>
      </c>
      <c r="U13" s="1">
        <f t="shared" si="0"/>
        <v>17</v>
      </c>
      <c r="V13" s="6">
        <f t="shared" si="1"/>
        <v>0.47222222222222221</v>
      </c>
      <c r="W13" s="6">
        <f t="shared" si="2"/>
        <v>0.77272727272727271</v>
      </c>
      <c r="X13" s="6" t="s">
        <v>102</v>
      </c>
    </row>
    <row r="14" spans="1:36" x14ac:dyDescent="0.2">
      <c r="A14" t="s">
        <v>24</v>
      </c>
      <c r="B14" t="s">
        <v>25</v>
      </c>
      <c r="L14">
        <v>2</v>
      </c>
      <c r="O14">
        <v>2</v>
      </c>
      <c r="P14">
        <v>2</v>
      </c>
      <c r="S14">
        <v>2</v>
      </c>
      <c r="T14">
        <v>2</v>
      </c>
      <c r="U14" s="1">
        <f t="shared" si="0"/>
        <v>10</v>
      </c>
      <c r="V14" s="6">
        <f t="shared" si="1"/>
        <v>0.27777777777777779</v>
      </c>
      <c r="W14" s="6">
        <f t="shared" si="2"/>
        <v>0.45454545454545453</v>
      </c>
      <c r="X14" s="6" t="s">
        <v>100</v>
      </c>
      <c r="AG14">
        <v>2</v>
      </c>
    </row>
    <row r="15" spans="1:36" x14ac:dyDescent="0.2">
      <c r="A15" t="s">
        <v>26</v>
      </c>
      <c r="B15" t="s">
        <v>27</v>
      </c>
      <c r="G15">
        <v>2</v>
      </c>
      <c r="J15">
        <v>2</v>
      </c>
      <c r="K15">
        <v>2</v>
      </c>
      <c r="M15">
        <v>2</v>
      </c>
      <c r="N15">
        <v>2</v>
      </c>
      <c r="O15">
        <v>2</v>
      </c>
      <c r="P15">
        <v>2</v>
      </c>
      <c r="Q15">
        <v>2</v>
      </c>
      <c r="S15">
        <v>2</v>
      </c>
      <c r="U15" s="1">
        <f t="shared" si="0"/>
        <v>18</v>
      </c>
      <c r="V15" s="6">
        <f t="shared" si="1"/>
        <v>0.5</v>
      </c>
      <c r="W15" s="6">
        <f t="shared" si="2"/>
        <v>0.81818181818181823</v>
      </c>
      <c r="X15" s="6" t="s">
        <v>103</v>
      </c>
    </row>
    <row r="16" spans="1:36" x14ac:dyDescent="0.2">
      <c r="A16" t="s">
        <v>28</v>
      </c>
      <c r="B16" t="s">
        <v>29</v>
      </c>
      <c r="D16">
        <v>2</v>
      </c>
      <c r="J16">
        <v>1</v>
      </c>
      <c r="K16">
        <v>2</v>
      </c>
      <c r="M16">
        <v>2</v>
      </c>
      <c r="R16">
        <v>2</v>
      </c>
      <c r="T16">
        <v>2</v>
      </c>
      <c r="U16" s="1">
        <f t="shared" si="0"/>
        <v>11</v>
      </c>
      <c r="V16" s="6">
        <f t="shared" si="1"/>
        <v>0.30555555555555558</v>
      </c>
      <c r="W16" s="6">
        <f t="shared" si="2"/>
        <v>0.5</v>
      </c>
      <c r="X16" s="6"/>
      <c r="AG16">
        <v>2</v>
      </c>
    </row>
    <row r="17" spans="1:33" x14ac:dyDescent="0.2">
      <c r="A17" t="s">
        <v>30</v>
      </c>
      <c r="B17" t="s">
        <v>31</v>
      </c>
      <c r="D17">
        <v>2</v>
      </c>
      <c r="J17">
        <v>1</v>
      </c>
      <c r="K17">
        <v>2</v>
      </c>
      <c r="L17">
        <v>2</v>
      </c>
      <c r="O17">
        <v>2</v>
      </c>
      <c r="P17">
        <v>2</v>
      </c>
      <c r="T17">
        <v>2</v>
      </c>
      <c r="U17" s="1">
        <f t="shared" si="0"/>
        <v>13</v>
      </c>
      <c r="V17" s="6">
        <f t="shared" si="1"/>
        <v>0.3611111111111111</v>
      </c>
      <c r="W17" s="6">
        <f t="shared" si="2"/>
        <v>0.59090909090909094</v>
      </c>
      <c r="X17" s="6"/>
      <c r="AG17">
        <v>2</v>
      </c>
    </row>
    <row r="18" spans="1:33" x14ac:dyDescent="0.2">
      <c r="A18" t="s">
        <v>32</v>
      </c>
      <c r="B18" t="s">
        <v>33</v>
      </c>
      <c r="G18">
        <v>2</v>
      </c>
      <c r="K18">
        <v>2</v>
      </c>
      <c r="L18">
        <v>2</v>
      </c>
      <c r="M18">
        <v>2</v>
      </c>
      <c r="N18">
        <v>2</v>
      </c>
      <c r="O18">
        <v>2</v>
      </c>
      <c r="P18">
        <v>2</v>
      </c>
      <c r="Q18">
        <v>2</v>
      </c>
      <c r="R18">
        <v>2</v>
      </c>
      <c r="S18">
        <v>2</v>
      </c>
      <c r="T18">
        <v>2</v>
      </c>
      <c r="U18" s="1">
        <f t="shared" si="0"/>
        <v>22</v>
      </c>
      <c r="V18" s="6">
        <f t="shared" si="1"/>
        <v>0.61111111111111116</v>
      </c>
      <c r="W18" s="6">
        <f t="shared" si="2"/>
        <v>1</v>
      </c>
      <c r="X18" s="6"/>
      <c r="AG18">
        <v>2</v>
      </c>
    </row>
    <row r="19" spans="1:33" x14ac:dyDescent="0.2">
      <c r="A19" t="s">
        <v>34</v>
      </c>
      <c r="B19" t="s">
        <v>35</v>
      </c>
      <c r="G19">
        <v>2</v>
      </c>
      <c r="I19">
        <v>2</v>
      </c>
      <c r="M19">
        <v>2</v>
      </c>
      <c r="O19">
        <v>2</v>
      </c>
      <c r="P19">
        <v>2</v>
      </c>
      <c r="T19">
        <v>2</v>
      </c>
      <c r="U19" s="1">
        <f t="shared" si="0"/>
        <v>12</v>
      </c>
      <c r="V19" s="6">
        <f t="shared" si="1"/>
        <v>0.33333333333333331</v>
      </c>
      <c r="W19" s="6">
        <f t="shared" si="2"/>
        <v>0.54545454545454541</v>
      </c>
      <c r="X19" s="6"/>
      <c r="AG19">
        <v>2</v>
      </c>
    </row>
    <row r="20" spans="1:33" x14ac:dyDescent="0.2">
      <c r="A20" t="s">
        <v>36</v>
      </c>
      <c r="B20" t="s">
        <v>37</v>
      </c>
      <c r="J20">
        <v>2</v>
      </c>
      <c r="K20">
        <v>2</v>
      </c>
      <c r="N20">
        <v>2</v>
      </c>
      <c r="P20">
        <v>2</v>
      </c>
      <c r="T20">
        <v>2</v>
      </c>
      <c r="U20" s="1">
        <f t="shared" si="0"/>
        <v>10</v>
      </c>
      <c r="V20" s="6">
        <f t="shared" si="1"/>
        <v>0.27777777777777779</v>
      </c>
      <c r="W20" s="6">
        <f t="shared" si="2"/>
        <v>0.45454545454545453</v>
      </c>
      <c r="X20" s="6"/>
      <c r="AG20">
        <v>2</v>
      </c>
    </row>
    <row r="21" spans="1:33" x14ac:dyDescent="0.2">
      <c r="A21" t="s">
        <v>38</v>
      </c>
      <c r="B21" t="s">
        <v>39</v>
      </c>
      <c r="K21">
        <v>2</v>
      </c>
      <c r="L21">
        <v>2</v>
      </c>
      <c r="P21">
        <v>1</v>
      </c>
      <c r="Q21">
        <v>2</v>
      </c>
      <c r="T21">
        <v>2</v>
      </c>
      <c r="U21" s="1">
        <f t="shared" si="0"/>
        <v>9</v>
      </c>
      <c r="V21" s="6">
        <f t="shared" si="1"/>
        <v>0.25</v>
      </c>
      <c r="W21" s="6">
        <f t="shared" si="2"/>
        <v>0.40909090909090912</v>
      </c>
      <c r="X21" s="6"/>
      <c r="AG21" t="s">
        <v>121</v>
      </c>
    </row>
    <row r="22" spans="1:33" x14ac:dyDescent="0.2">
      <c r="A22" t="s">
        <v>40</v>
      </c>
      <c r="B22" t="s">
        <v>41</v>
      </c>
      <c r="G22">
        <v>1</v>
      </c>
      <c r="H22">
        <v>2</v>
      </c>
      <c r="I22">
        <v>2</v>
      </c>
      <c r="J22">
        <v>2</v>
      </c>
      <c r="K22">
        <v>2</v>
      </c>
      <c r="L22">
        <v>0</v>
      </c>
      <c r="M22">
        <v>0</v>
      </c>
      <c r="N22">
        <v>2</v>
      </c>
      <c r="O22">
        <v>0</v>
      </c>
      <c r="S22">
        <v>2</v>
      </c>
      <c r="U22" s="1">
        <f t="shared" si="0"/>
        <v>13</v>
      </c>
      <c r="V22" s="6">
        <f t="shared" si="1"/>
        <v>0.3611111111111111</v>
      </c>
      <c r="W22" s="6">
        <f t="shared" si="2"/>
        <v>0.59090909090909094</v>
      </c>
      <c r="X22" s="6"/>
    </row>
    <row r="23" spans="1:33" x14ac:dyDescent="0.2">
      <c r="A23" t="s">
        <v>42</v>
      </c>
      <c r="B23" t="s">
        <v>43</v>
      </c>
      <c r="P23">
        <v>2</v>
      </c>
      <c r="U23" s="1">
        <f t="shared" si="0"/>
        <v>2</v>
      </c>
      <c r="V23" s="6">
        <f t="shared" si="1"/>
        <v>5.5555555555555552E-2</v>
      </c>
      <c r="W23" s="6">
        <f t="shared" si="2"/>
        <v>9.0909090909090912E-2</v>
      </c>
      <c r="X23" s="6"/>
    </row>
    <row r="24" spans="1:33" x14ac:dyDescent="0.2">
      <c r="A24" t="s">
        <v>44</v>
      </c>
      <c r="B24" t="s">
        <v>45</v>
      </c>
      <c r="S24">
        <v>2</v>
      </c>
      <c r="U24" s="1">
        <f t="shared" si="0"/>
        <v>2</v>
      </c>
      <c r="V24" s="6">
        <f t="shared" si="1"/>
        <v>5.5555555555555552E-2</v>
      </c>
      <c r="W24" s="6">
        <f t="shared" si="2"/>
        <v>9.0909090909090912E-2</v>
      </c>
      <c r="X24" s="6"/>
    </row>
    <row r="25" spans="1:33" x14ac:dyDescent="0.2">
      <c r="A25" t="s">
        <v>46</v>
      </c>
      <c r="B25" t="s">
        <v>47</v>
      </c>
      <c r="D25">
        <v>2</v>
      </c>
      <c r="M25">
        <v>2</v>
      </c>
      <c r="U25" s="1">
        <f t="shared" si="0"/>
        <v>4</v>
      </c>
      <c r="V25" s="6">
        <f t="shared" si="1"/>
        <v>0.1111111111111111</v>
      </c>
      <c r="W25" s="6">
        <f t="shared" si="2"/>
        <v>0.18181818181818182</v>
      </c>
      <c r="X25" s="6"/>
      <c r="AG25">
        <v>2</v>
      </c>
    </row>
    <row r="26" spans="1:33" x14ac:dyDescent="0.2">
      <c r="A26" t="s">
        <v>48</v>
      </c>
      <c r="B26" t="s">
        <v>49</v>
      </c>
      <c r="G26">
        <v>1</v>
      </c>
      <c r="J26">
        <v>2</v>
      </c>
      <c r="K26">
        <v>2</v>
      </c>
      <c r="L26">
        <v>2</v>
      </c>
      <c r="M26">
        <v>2</v>
      </c>
      <c r="O26">
        <v>2</v>
      </c>
      <c r="P26">
        <v>2</v>
      </c>
      <c r="R26">
        <v>2</v>
      </c>
      <c r="T26">
        <v>2</v>
      </c>
      <c r="U26" s="1">
        <f t="shared" si="0"/>
        <v>17</v>
      </c>
      <c r="V26" s="6">
        <f t="shared" si="1"/>
        <v>0.47222222222222221</v>
      </c>
      <c r="W26" s="6">
        <f t="shared" si="2"/>
        <v>0.77272727272727271</v>
      </c>
      <c r="X26" s="6"/>
      <c r="AG26">
        <v>2</v>
      </c>
    </row>
    <row r="27" spans="1:33" x14ac:dyDescent="0.2">
      <c r="A27" t="s">
        <v>50</v>
      </c>
      <c r="B27" t="s">
        <v>51</v>
      </c>
      <c r="I27">
        <v>2</v>
      </c>
      <c r="J27">
        <v>2</v>
      </c>
      <c r="Q27">
        <v>2</v>
      </c>
      <c r="R27">
        <v>2</v>
      </c>
      <c r="S27">
        <v>2</v>
      </c>
      <c r="T27">
        <v>2</v>
      </c>
      <c r="U27" s="1">
        <f t="shared" si="0"/>
        <v>12</v>
      </c>
      <c r="V27" s="6">
        <f t="shared" si="1"/>
        <v>0.33333333333333331</v>
      </c>
      <c r="W27" s="6">
        <f t="shared" si="2"/>
        <v>0.54545454545454541</v>
      </c>
      <c r="X27" s="6"/>
      <c r="AG27">
        <v>1</v>
      </c>
    </row>
    <row r="28" spans="1:33" x14ac:dyDescent="0.2">
      <c r="A28" t="s">
        <v>52</v>
      </c>
      <c r="B28" t="s">
        <v>74</v>
      </c>
      <c r="M28">
        <v>2</v>
      </c>
      <c r="U28" s="1">
        <f t="shared" si="0"/>
        <v>2</v>
      </c>
      <c r="V28" s="6">
        <f t="shared" si="1"/>
        <v>5.5555555555555552E-2</v>
      </c>
      <c r="W28" s="6">
        <f t="shared" si="2"/>
        <v>9.0909090909090912E-2</v>
      </c>
      <c r="X28" s="6"/>
      <c r="AG28">
        <v>2</v>
      </c>
    </row>
    <row r="29" spans="1:33" x14ac:dyDescent="0.2">
      <c r="A29" t="s">
        <v>2</v>
      </c>
      <c r="B29" t="s">
        <v>53</v>
      </c>
      <c r="D29">
        <v>2</v>
      </c>
      <c r="K29">
        <v>2</v>
      </c>
      <c r="L29">
        <v>2</v>
      </c>
      <c r="O29">
        <v>2</v>
      </c>
      <c r="Q29">
        <v>2</v>
      </c>
      <c r="R29">
        <v>2</v>
      </c>
      <c r="S29">
        <v>2</v>
      </c>
      <c r="U29" s="1">
        <f t="shared" si="0"/>
        <v>14</v>
      </c>
      <c r="V29" s="6">
        <f t="shared" si="1"/>
        <v>0.3888888888888889</v>
      </c>
      <c r="W29" s="6">
        <f t="shared" si="2"/>
        <v>0.63636363636363635</v>
      </c>
      <c r="X29" s="6"/>
      <c r="AG29">
        <v>2</v>
      </c>
    </row>
    <row r="30" spans="1:33" x14ac:dyDescent="0.2">
      <c r="A30" t="s">
        <v>54</v>
      </c>
      <c r="B30" t="s">
        <v>55</v>
      </c>
      <c r="D30">
        <v>2</v>
      </c>
      <c r="J30">
        <v>2</v>
      </c>
      <c r="L30">
        <v>2</v>
      </c>
      <c r="P30">
        <v>2</v>
      </c>
      <c r="R30">
        <v>2</v>
      </c>
      <c r="U30" s="1">
        <f t="shared" si="0"/>
        <v>10</v>
      </c>
      <c r="V30" s="6">
        <f t="shared" si="1"/>
        <v>0.27777777777777779</v>
      </c>
      <c r="W30" s="6">
        <f t="shared" si="2"/>
        <v>0.45454545454545453</v>
      </c>
      <c r="X30" s="6"/>
      <c r="AG30">
        <v>2</v>
      </c>
    </row>
    <row r="31" spans="1:33" x14ac:dyDescent="0.2">
      <c r="A31" t="s">
        <v>56</v>
      </c>
      <c r="B31" t="s">
        <v>57</v>
      </c>
      <c r="I31">
        <v>2</v>
      </c>
      <c r="J31">
        <v>2</v>
      </c>
      <c r="K31">
        <v>2</v>
      </c>
      <c r="M31">
        <v>2</v>
      </c>
      <c r="O31">
        <v>2</v>
      </c>
      <c r="U31" s="1">
        <f t="shared" si="0"/>
        <v>10</v>
      </c>
      <c r="V31" s="6">
        <f t="shared" si="1"/>
        <v>0.27777777777777779</v>
      </c>
      <c r="W31" s="6">
        <f t="shared" si="2"/>
        <v>0.45454545454545453</v>
      </c>
      <c r="X31" s="6"/>
      <c r="AG31">
        <v>2</v>
      </c>
    </row>
    <row r="32" spans="1:33" x14ac:dyDescent="0.2">
      <c r="A32" t="s">
        <v>58</v>
      </c>
      <c r="B32" t="s">
        <v>59</v>
      </c>
      <c r="O32">
        <v>1</v>
      </c>
      <c r="P32">
        <v>1</v>
      </c>
      <c r="R32">
        <v>2</v>
      </c>
      <c r="U32" s="1">
        <f t="shared" si="0"/>
        <v>4</v>
      </c>
      <c r="V32" s="6">
        <f t="shared" si="1"/>
        <v>0.1111111111111111</v>
      </c>
      <c r="W32" s="6">
        <f t="shared" si="2"/>
        <v>0.18181818181818182</v>
      </c>
      <c r="X32" s="6"/>
      <c r="AG32">
        <v>2</v>
      </c>
    </row>
    <row r="33" spans="1:33" x14ac:dyDescent="0.2">
      <c r="A33" t="s">
        <v>60</v>
      </c>
      <c r="B33" t="s">
        <v>61</v>
      </c>
      <c r="D33">
        <v>2</v>
      </c>
      <c r="F33">
        <v>1</v>
      </c>
      <c r="I33">
        <v>2</v>
      </c>
      <c r="J33">
        <v>2</v>
      </c>
      <c r="K33">
        <v>2</v>
      </c>
      <c r="L33">
        <v>1</v>
      </c>
      <c r="M33">
        <v>2</v>
      </c>
      <c r="O33">
        <v>1</v>
      </c>
      <c r="P33">
        <v>2</v>
      </c>
      <c r="Q33">
        <v>2</v>
      </c>
      <c r="R33">
        <v>2</v>
      </c>
      <c r="S33">
        <v>1</v>
      </c>
      <c r="T33">
        <v>2</v>
      </c>
      <c r="U33" s="1">
        <f t="shared" si="0"/>
        <v>22</v>
      </c>
      <c r="V33" s="6">
        <f t="shared" si="1"/>
        <v>0.61111111111111116</v>
      </c>
      <c r="W33" s="6">
        <f t="shared" si="2"/>
        <v>1</v>
      </c>
      <c r="X33" s="6"/>
      <c r="AG33">
        <v>2</v>
      </c>
    </row>
    <row r="34" spans="1:33" x14ac:dyDescent="0.2">
      <c r="A34" t="s">
        <v>62</v>
      </c>
      <c r="B34" t="s">
        <v>63</v>
      </c>
      <c r="D34">
        <v>2</v>
      </c>
      <c r="F34">
        <v>1</v>
      </c>
      <c r="G34">
        <v>2</v>
      </c>
      <c r="K34">
        <v>2</v>
      </c>
      <c r="L34">
        <v>2</v>
      </c>
      <c r="M34">
        <v>2</v>
      </c>
      <c r="O34">
        <v>2</v>
      </c>
      <c r="P34">
        <v>2</v>
      </c>
      <c r="Q34">
        <v>2</v>
      </c>
      <c r="R34">
        <v>2</v>
      </c>
      <c r="S34">
        <v>2</v>
      </c>
      <c r="U34" s="1">
        <f t="shared" si="0"/>
        <v>21</v>
      </c>
      <c r="V34" s="6">
        <f t="shared" si="1"/>
        <v>0.58333333333333337</v>
      </c>
      <c r="W34" s="6">
        <f t="shared" si="2"/>
        <v>0.95454545454545459</v>
      </c>
      <c r="X34" s="6"/>
      <c r="AG34">
        <v>2</v>
      </c>
    </row>
    <row r="35" spans="1:33" x14ac:dyDescent="0.2">
      <c r="A35" t="s">
        <v>64</v>
      </c>
      <c r="B35" t="s">
        <v>65</v>
      </c>
      <c r="G35">
        <v>1</v>
      </c>
      <c r="J35">
        <v>2</v>
      </c>
      <c r="K35">
        <v>2</v>
      </c>
      <c r="L35">
        <v>2</v>
      </c>
      <c r="M35">
        <v>2</v>
      </c>
      <c r="N35">
        <v>2</v>
      </c>
      <c r="O35">
        <v>2</v>
      </c>
      <c r="P35">
        <v>2</v>
      </c>
      <c r="Q35">
        <v>2</v>
      </c>
      <c r="S35">
        <v>2</v>
      </c>
      <c r="U35" s="1">
        <f t="shared" si="0"/>
        <v>19</v>
      </c>
      <c r="V35" s="6">
        <f t="shared" si="1"/>
        <v>0.52777777777777779</v>
      </c>
      <c r="W35" s="6">
        <f t="shared" si="2"/>
        <v>0.86363636363636365</v>
      </c>
      <c r="X35" s="6"/>
      <c r="AG35">
        <v>2</v>
      </c>
    </row>
    <row r="36" spans="1:33" x14ac:dyDescent="0.2">
      <c r="A36" t="s">
        <v>66</v>
      </c>
      <c r="B36" t="s">
        <v>67</v>
      </c>
      <c r="I36">
        <v>2</v>
      </c>
      <c r="K36">
        <v>1</v>
      </c>
      <c r="N36">
        <v>2</v>
      </c>
      <c r="P36">
        <v>2</v>
      </c>
      <c r="U36" s="1">
        <f t="shared" si="0"/>
        <v>7</v>
      </c>
      <c r="V36" s="6">
        <f t="shared" si="1"/>
        <v>0.19444444444444445</v>
      </c>
      <c r="W36" s="6">
        <f t="shared" si="2"/>
        <v>0.31818181818181818</v>
      </c>
      <c r="X36" s="6"/>
    </row>
    <row r="37" spans="1:33" x14ac:dyDescent="0.2">
      <c r="A37" t="s">
        <v>68</v>
      </c>
      <c r="B37" t="s">
        <v>69</v>
      </c>
      <c r="U37" s="1">
        <f t="shared" si="0"/>
        <v>0</v>
      </c>
      <c r="V37" s="6">
        <f t="shared" si="1"/>
        <v>0</v>
      </c>
      <c r="W37" s="6">
        <f t="shared" si="2"/>
        <v>0</v>
      </c>
      <c r="X37" s="6"/>
    </row>
    <row r="38" spans="1:33" x14ac:dyDescent="0.2">
      <c r="A38" t="s">
        <v>70</v>
      </c>
      <c r="B38" t="s">
        <v>71</v>
      </c>
      <c r="G38">
        <v>2</v>
      </c>
      <c r="J38">
        <v>2</v>
      </c>
      <c r="M38">
        <v>2</v>
      </c>
      <c r="O38">
        <v>1</v>
      </c>
      <c r="T38">
        <v>2</v>
      </c>
      <c r="U38" s="1">
        <f t="shared" si="0"/>
        <v>9</v>
      </c>
      <c r="V38" s="6">
        <f t="shared" si="1"/>
        <v>0.25</v>
      </c>
      <c r="W38" s="6">
        <f t="shared" si="2"/>
        <v>0.40909090909090912</v>
      </c>
      <c r="X38" s="6"/>
      <c r="AG38">
        <v>2</v>
      </c>
    </row>
    <row r="39" spans="1:33" x14ac:dyDescent="0.2">
      <c r="A39" t="s">
        <v>72</v>
      </c>
      <c r="B39" t="s">
        <v>73</v>
      </c>
      <c r="I39">
        <v>1</v>
      </c>
      <c r="J39">
        <v>2</v>
      </c>
      <c r="M39">
        <v>2</v>
      </c>
      <c r="N39">
        <v>1</v>
      </c>
      <c r="O39">
        <v>2</v>
      </c>
      <c r="P39">
        <v>2</v>
      </c>
      <c r="U39" s="1">
        <f t="shared" si="0"/>
        <v>10</v>
      </c>
      <c r="V39" s="6">
        <f t="shared" si="1"/>
        <v>0.27777777777777779</v>
      </c>
      <c r="W39" s="6">
        <f t="shared" si="2"/>
        <v>0.45454545454545453</v>
      </c>
      <c r="X39" s="6"/>
      <c r="AG39">
        <v>2</v>
      </c>
    </row>
    <row r="40" spans="1:33" x14ac:dyDescent="0.2">
      <c r="A40" t="s">
        <v>95</v>
      </c>
      <c r="B40" t="s">
        <v>95</v>
      </c>
      <c r="C40">
        <v>2</v>
      </c>
      <c r="D40">
        <v>2</v>
      </c>
      <c r="E40">
        <v>2</v>
      </c>
      <c r="F40">
        <v>2</v>
      </c>
      <c r="G40">
        <v>2</v>
      </c>
      <c r="H40">
        <v>2</v>
      </c>
      <c r="I40">
        <v>2</v>
      </c>
      <c r="J40">
        <v>2</v>
      </c>
      <c r="K40">
        <v>2</v>
      </c>
      <c r="L40">
        <v>2</v>
      </c>
      <c r="M40">
        <v>2</v>
      </c>
      <c r="N40">
        <v>2</v>
      </c>
      <c r="O40">
        <v>2</v>
      </c>
      <c r="P40">
        <v>2</v>
      </c>
      <c r="Q40">
        <v>2</v>
      </c>
      <c r="R40">
        <v>2</v>
      </c>
      <c r="S40">
        <v>2</v>
      </c>
      <c r="T40">
        <v>2</v>
      </c>
      <c r="U40" s="1">
        <f t="shared" si="0"/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BB356-6AF7-8740-A0ED-9A14B24F1E9D}">
  <dimension ref="A1:I40"/>
  <sheetViews>
    <sheetView workbookViewId="0">
      <selection activeCell="D23" sqref="D23"/>
    </sheetView>
  </sheetViews>
  <sheetFormatPr baseColWidth="10" defaultRowHeight="16" x14ac:dyDescent="0.2"/>
  <cols>
    <col min="2" max="2" width="16.33203125" customWidth="1"/>
    <col min="3" max="3" width="16.6640625" customWidth="1"/>
  </cols>
  <sheetData>
    <row r="1" spans="1:9" x14ac:dyDescent="0.2">
      <c r="A1" s="7" t="s">
        <v>75</v>
      </c>
      <c r="B1" s="7" t="s">
        <v>76</v>
      </c>
      <c r="E1" t="s">
        <v>104</v>
      </c>
      <c r="F1">
        <v>2</v>
      </c>
    </row>
    <row r="2" spans="1:9" x14ac:dyDescent="0.2">
      <c r="A2" s="8" t="s">
        <v>0</v>
      </c>
      <c r="B2" s="8" t="s">
        <v>1</v>
      </c>
      <c r="C2" t="s">
        <v>104</v>
      </c>
      <c r="D2">
        <v>97</v>
      </c>
      <c r="E2" t="s">
        <v>104</v>
      </c>
    </row>
    <row r="3" spans="1:9" x14ac:dyDescent="0.2">
      <c r="A3" s="8" t="s">
        <v>2</v>
      </c>
      <c r="B3" s="8" t="s">
        <v>3</v>
      </c>
      <c r="C3" t="s">
        <v>105</v>
      </c>
      <c r="D3">
        <v>94</v>
      </c>
      <c r="E3" t="s">
        <v>107</v>
      </c>
      <c r="F3">
        <v>3</v>
      </c>
      <c r="H3" s="8" t="s">
        <v>16</v>
      </c>
      <c r="I3" s="8" t="s">
        <v>17</v>
      </c>
    </row>
    <row r="4" spans="1:9" x14ac:dyDescent="0.2">
      <c r="A4" s="8" t="s">
        <v>4</v>
      </c>
      <c r="B4" s="8" t="s">
        <v>5</v>
      </c>
      <c r="C4" t="s">
        <v>106</v>
      </c>
      <c r="D4" t="s">
        <v>84</v>
      </c>
      <c r="E4" t="s">
        <v>107</v>
      </c>
      <c r="H4" s="8" t="s">
        <v>20</v>
      </c>
      <c r="I4" s="8" t="s">
        <v>21</v>
      </c>
    </row>
    <row r="5" spans="1:9" x14ac:dyDescent="0.2">
      <c r="A5" s="8" t="s">
        <v>6</v>
      </c>
      <c r="B5" s="8" t="s">
        <v>7</v>
      </c>
      <c r="C5" t="s">
        <v>107</v>
      </c>
      <c r="D5" t="s">
        <v>115</v>
      </c>
      <c r="E5" t="s">
        <v>107</v>
      </c>
      <c r="H5" s="8" t="s">
        <v>30</v>
      </c>
      <c r="I5" s="8" t="s">
        <v>31</v>
      </c>
    </row>
    <row r="6" spans="1:9" x14ac:dyDescent="0.2">
      <c r="A6" s="8" t="s">
        <v>8</v>
      </c>
      <c r="B6" s="8" t="s">
        <v>9</v>
      </c>
      <c r="C6" t="s">
        <v>108</v>
      </c>
      <c r="D6">
        <v>96</v>
      </c>
      <c r="E6" t="s">
        <v>108</v>
      </c>
      <c r="F6">
        <v>15</v>
      </c>
      <c r="H6" s="8" t="s">
        <v>32</v>
      </c>
      <c r="I6" s="8" t="s">
        <v>33</v>
      </c>
    </row>
    <row r="7" spans="1:9" x14ac:dyDescent="0.2">
      <c r="A7" s="8" t="s">
        <v>10</v>
      </c>
      <c r="B7" s="8" t="s">
        <v>11</v>
      </c>
      <c r="C7" t="s">
        <v>106</v>
      </c>
      <c r="D7">
        <v>93</v>
      </c>
      <c r="E7" t="s">
        <v>112</v>
      </c>
      <c r="H7" s="8" t="s">
        <v>38</v>
      </c>
      <c r="I7" s="8" t="s">
        <v>39</v>
      </c>
    </row>
    <row r="8" spans="1:9" x14ac:dyDescent="0.2">
      <c r="A8" s="8" t="s">
        <v>12</v>
      </c>
      <c r="B8" s="8" t="s">
        <v>13</v>
      </c>
      <c r="C8" t="s">
        <v>105</v>
      </c>
      <c r="D8">
        <v>93</v>
      </c>
      <c r="E8" t="s">
        <v>110</v>
      </c>
      <c r="H8" s="8" t="s">
        <v>40</v>
      </c>
      <c r="I8" s="8" t="s">
        <v>41</v>
      </c>
    </row>
    <row r="9" spans="1:9" x14ac:dyDescent="0.2">
      <c r="A9" s="8" t="s">
        <v>14</v>
      </c>
      <c r="B9" s="8" t="s">
        <v>15</v>
      </c>
      <c r="C9" t="s">
        <v>105</v>
      </c>
      <c r="D9">
        <v>93</v>
      </c>
      <c r="E9" t="s">
        <v>110</v>
      </c>
      <c r="H9" s="8" t="s">
        <v>70</v>
      </c>
      <c r="I9" s="8" t="s">
        <v>71</v>
      </c>
    </row>
    <row r="10" spans="1:9" x14ac:dyDescent="0.2">
      <c r="A10" s="8" t="s">
        <v>16</v>
      </c>
      <c r="B10" s="8" t="s">
        <v>17</v>
      </c>
      <c r="C10" t="s">
        <v>109</v>
      </c>
      <c r="D10" t="s">
        <v>116</v>
      </c>
      <c r="E10" t="s">
        <v>110</v>
      </c>
      <c r="H10" s="8" t="s">
        <v>72</v>
      </c>
      <c r="I10" s="8" t="s">
        <v>73</v>
      </c>
    </row>
    <row r="11" spans="1:9" x14ac:dyDescent="0.2">
      <c r="A11" s="7" t="s">
        <v>18</v>
      </c>
      <c r="B11" s="7" t="s">
        <v>19</v>
      </c>
      <c r="C11" t="s">
        <v>105</v>
      </c>
      <c r="D11">
        <v>95</v>
      </c>
      <c r="E11" t="s">
        <v>109</v>
      </c>
    </row>
    <row r="12" spans="1:9" x14ac:dyDescent="0.2">
      <c r="A12" s="8" t="s">
        <v>20</v>
      </c>
      <c r="B12" s="8" t="s">
        <v>21</v>
      </c>
      <c r="C12" t="s">
        <v>109</v>
      </c>
      <c r="D12" t="s">
        <v>116</v>
      </c>
      <c r="E12" t="s">
        <v>109</v>
      </c>
    </row>
    <row r="13" spans="1:9" x14ac:dyDescent="0.2">
      <c r="A13" s="8" t="s">
        <v>22</v>
      </c>
      <c r="B13" s="8" t="s">
        <v>23</v>
      </c>
      <c r="C13" t="s">
        <v>110</v>
      </c>
      <c r="D13">
        <v>92</v>
      </c>
      <c r="E13" t="s">
        <v>109</v>
      </c>
    </row>
    <row r="14" spans="1:9" x14ac:dyDescent="0.2">
      <c r="A14" s="8" t="s">
        <v>24</v>
      </c>
      <c r="B14" s="8" t="s">
        <v>25</v>
      </c>
      <c r="C14" t="s">
        <v>107</v>
      </c>
      <c r="D14" t="s">
        <v>115</v>
      </c>
      <c r="E14" t="s">
        <v>109</v>
      </c>
    </row>
    <row r="15" spans="1:9" x14ac:dyDescent="0.2">
      <c r="A15" s="8" t="s">
        <v>26</v>
      </c>
      <c r="B15" s="8" t="s">
        <v>27</v>
      </c>
      <c r="C15" t="s">
        <v>111</v>
      </c>
      <c r="D15">
        <v>96</v>
      </c>
      <c r="E15" t="s">
        <v>109</v>
      </c>
    </row>
    <row r="16" spans="1:9" x14ac:dyDescent="0.2">
      <c r="A16" s="8" t="s">
        <v>28</v>
      </c>
      <c r="B16" s="8" t="s">
        <v>29</v>
      </c>
      <c r="C16" t="s">
        <v>106</v>
      </c>
      <c r="D16">
        <v>97</v>
      </c>
      <c r="E16" t="s">
        <v>109</v>
      </c>
    </row>
    <row r="17" spans="1:6" x14ac:dyDescent="0.2">
      <c r="A17" s="8" t="s">
        <v>30</v>
      </c>
      <c r="B17" s="8" t="s">
        <v>31</v>
      </c>
      <c r="C17" t="s">
        <v>109</v>
      </c>
      <c r="D17" t="s">
        <v>116</v>
      </c>
      <c r="E17" t="s">
        <v>109</v>
      </c>
    </row>
    <row r="18" spans="1:6" x14ac:dyDescent="0.2">
      <c r="A18" s="8" t="s">
        <v>32</v>
      </c>
      <c r="B18" s="8" t="s">
        <v>33</v>
      </c>
      <c r="C18" t="s">
        <v>109</v>
      </c>
      <c r="D18" t="s">
        <v>116</v>
      </c>
      <c r="E18" t="s">
        <v>109</v>
      </c>
    </row>
    <row r="19" spans="1:6" x14ac:dyDescent="0.2">
      <c r="A19" s="8" t="s">
        <v>34</v>
      </c>
      <c r="B19" s="8" t="s">
        <v>35</v>
      </c>
      <c r="C19" t="s">
        <v>109</v>
      </c>
      <c r="D19">
        <v>98</v>
      </c>
      <c r="E19" t="s">
        <v>109</v>
      </c>
    </row>
    <row r="20" spans="1:6" x14ac:dyDescent="0.2">
      <c r="A20" s="8" t="s">
        <v>36</v>
      </c>
      <c r="B20" s="8" t="s">
        <v>37</v>
      </c>
      <c r="C20" t="s">
        <v>111</v>
      </c>
      <c r="D20" t="s">
        <v>116</v>
      </c>
      <c r="E20" t="s">
        <v>109</v>
      </c>
    </row>
    <row r="21" spans="1:6" x14ac:dyDescent="0.2">
      <c r="A21" s="8" t="s">
        <v>38</v>
      </c>
      <c r="B21" s="8" t="s">
        <v>39</v>
      </c>
      <c r="C21" t="s">
        <v>109</v>
      </c>
      <c r="D21" t="s">
        <v>116</v>
      </c>
      <c r="E21" t="s">
        <v>105</v>
      </c>
    </row>
    <row r="22" spans="1:6" x14ac:dyDescent="0.2">
      <c r="A22" s="8" t="s">
        <v>40</v>
      </c>
      <c r="B22" s="8" t="s">
        <v>41</v>
      </c>
      <c r="C22" t="s">
        <v>109</v>
      </c>
      <c r="D22" t="s">
        <v>116</v>
      </c>
      <c r="E22" t="s">
        <v>105</v>
      </c>
      <c r="F22">
        <v>11</v>
      </c>
    </row>
    <row r="23" spans="1:6" x14ac:dyDescent="0.2">
      <c r="A23" s="7" t="s">
        <v>42</v>
      </c>
      <c r="B23" s="7" t="s">
        <v>43</v>
      </c>
      <c r="C23" t="s">
        <v>105</v>
      </c>
      <c r="D23" t="s">
        <v>119</v>
      </c>
      <c r="E23" t="s">
        <v>105</v>
      </c>
    </row>
    <row r="24" spans="1:6" x14ac:dyDescent="0.2">
      <c r="A24" s="8" t="s">
        <v>44</v>
      </c>
      <c r="B24" s="8" t="s">
        <v>45</v>
      </c>
      <c r="C24" t="s">
        <v>105</v>
      </c>
      <c r="D24" t="s">
        <v>113</v>
      </c>
      <c r="E24" t="s">
        <v>105</v>
      </c>
    </row>
    <row r="25" spans="1:6" x14ac:dyDescent="0.2">
      <c r="A25" s="8" t="s">
        <v>46</v>
      </c>
      <c r="B25" s="8" t="s">
        <v>47</v>
      </c>
      <c r="C25" t="s">
        <v>111</v>
      </c>
      <c r="D25">
        <v>90</v>
      </c>
      <c r="E25" t="s">
        <v>105</v>
      </c>
    </row>
    <row r="26" spans="1:6" x14ac:dyDescent="0.2">
      <c r="A26" s="8" t="s">
        <v>48</v>
      </c>
      <c r="B26" s="8" t="s">
        <v>49</v>
      </c>
      <c r="C26" t="s">
        <v>112</v>
      </c>
      <c r="D26" t="s">
        <v>114</v>
      </c>
      <c r="E26" t="s">
        <v>105</v>
      </c>
    </row>
    <row r="27" spans="1:6" x14ac:dyDescent="0.2">
      <c r="A27" s="8" t="s">
        <v>50</v>
      </c>
      <c r="B27" s="8" t="s">
        <v>51</v>
      </c>
      <c r="C27" t="s">
        <v>105</v>
      </c>
      <c r="D27" t="s">
        <v>117</v>
      </c>
      <c r="E27" t="s">
        <v>105</v>
      </c>
    </row>
    <row r="28" spans="1:6" x14ac:dyDescent="0.2">
      <c r="A28" s="8" t="s">
        <v>52</v>
      </c>
      <c r="B28" s="8" t="s">
        <v>74</v>
      </c>
      <c r="C28" t="s">
        <v>105</v>
      </c>
      <c r="D28" t="s">
        <v>118</v>
      </c>
      <c r="E28" t="s">
        <v>105</v>
      </c>
    </row>
    <row r="29" spans="1:6" x14ac:dyDescent="0.2">
      <c r="A29" s="8" t="s">
        <v>2</v>
      </c>
      <c r="B29" s="8" t="s">
        <v>53</v>
      </c>
      <c r="C29" t="s">
        <v>105</v>
      </c>
      <c r="D29">
        <v>98</v>
      </c>
      <c r="E29" t="s">
        <v>105</v>
      </c>
    </row>
    <row r="30" spans="1:6" x14ac:dyDescent="0.2">
      <c r="A30" s="8" t="s">
        <v>54</v>
      </c>
      <c r="B30" s="8" t="s">
        <v>55</v>
      </c>
      <c r="C30" t="s">
        <v>104</v>
      </c>
      <c r="D30">
        <v>95</v>
      </c>
      <c r="E30" t="s">
        <v>105</v>
      </c>
    </row>
    <row r="31" spans="1:6" x14ac:dyDescent="0.2">
      <c r="A31" s="8" t="s">
        <v>56</v>
      </c>
      <c r="B31" s="8" t="s">
        <v>57</v>
      </c>
      <c r="C31" t="s">
        <v>109</v>
      </c>
      <c r="D31">
        <v>97</v>
      </c>
      <c r="E31" t="s">
        <v>105</v>
      </c>
    </row>
    <row r="32" spans="1:6" x14ac:dyDescent="0.2">
      <c r="A32" s="8" t="s">
        <v>58</v>
      </c>
      <c r="B32" s="8" t="s">
        <v>59</v>
      </c>
      <c r="C32" t="s">
        <v>105</v>
      </c>
      <c r="D32">
        <v>92</v>
      </c>
      <c r="E32" t="s">
        <v>111</v>
      </c>
      <c r="F32">
        <v>3</v>
      </c>
    </row>
    <row r="33" spans="1:6" x14ac:dyDescent="0.2">
      <c r="A33" s="7" t="s">
        <v>60</v>
      </c>
      <c r="B33" s="7" t="s">
        <v>61</v>
      </c>
      <c r="C33" t="s">
        <v>105</v>
      </c>
      <c r="D33" t="s">
        <v>120</v>
      </c>
      <c r="E33" t="s">
        <v>111</v>
      </c>
    </row>
    <row r="34" spans="1:6" x14ac:dyDescent="0.2">
      <c r="A34" s="8" t="s">
        <v>62</v>
      </c>
      <c r="B34" s="8" t="s">
        <v>63</v>
      </c>
      <c r="C34" t="s">
        <v>107</v>
      </c>
      <c r="D34">
        <v>95</v>
      </c>
      <c r="E34" t="s">
        <v>111</v>
      </c>
    </row>
    <row r="35" spans="1:6" x14ac:dyDescent="0.2">
      <c r="A35" s="8" t="s">
        <v>64</v>
      </c>
      <c r="B35" s="8" t="s">
        <v>65</v>
      </c>
      <c r="C35" t="s">
        <v>110</v>
      </c>
      <c r="D35">
        <v>98</v>
      </c>
      <c r="E35" t="s">
        <v>106</v>
      </c>
      <c r="F35">
        <v>3</v>
      </c>
    </row>
    <row r="36" spans="1:6" x14ac:dyDescent="0.2">
      <c r="A36" s="8" t="s">
        <v>95</v>
      </c>
      <c r="B36" s="8" t="s">
        <v>95</v>
      </c>
      <c r="E36" t="s">
        <v>106</v>
      </c>
    </row>
    <row r="37" spans="1:6" x14ac:dyDescent="0.2">
      <c r="A37" s="8" t="s">
        <v>66</v>
      </c>
      <c r="B37" s="8" t="s">
        <v>67</v>
      </c>
      <c r="C37" t="s">
        <v>110</v>
      </c>
      <c r="D37" t="s">
        <v>118</v>
      </c>
      <c r="E37" t="s">
        <v>106</v>
      </c>
    </row>
    <row r="38" spans="1:6" x14ac:dyDescent="0.2">
      <c r="A38" s="8" t="s">
        <v>68</v>
      </c>
      <c r="B38" s="8" t="s">
        <v>69</v>
      </c>
    </row>
    <row r="39" spans="1:6" x14ac:dyDescent="0.2">
      <c r="A39" s="8" t="s">
        <v>70</v>
      </c>
      <c r="B39" s="8" t="s">
        <v>71</v>
      </c>
      <c r="C39" t="s">
        <v>109</v>
      </c>
      <c r="D39" t="s">
        <v>116</v>
      </c>
    </row>
    <row r="40" spans="1:6" x14ac:dyDescent="0.2">
      <c r="A40" s="8" t="s">
        <v>72</v>
      </c>
      <c r="B40" s="8" t="s">
        <v>73</v>
      </c>
      <c r="C40" t="s">
        <v>109</v>
      </c>
      <c r="D40" t="s">
        <v>116</v>
      </c>
    </row>
  </sheetData>
  <sortState xmlns:xlrd2="http://schemas.microsoft.com/office/spreadsheetml/2017/richdata2" ref="A2:D40">
    <sortCondition ref="B2:B4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3BCEF-4552-CE4D-BE68-23600D60C9E9}">
  <dimension ref="A1:M41"/>
  <sheetViews>
    <sheetView workbookViewId="0">
      <selection activeCell="J36" sqref="J36"/>
    </sheetView>
  </sheetViews>
  <sheetFormatPr baseColWidth="10" defaultRowHeight="16" x14ac:dyDescent="0.2"/>
  <cols>
    <col min="1" max="1" width="26" customWidth="1"/>
    <col min="3" max="3" width="7.6640625" customWidth="1"/>
    <col min="4" max="4" width="6.6640625" customWidth="1"/>
    <col min="5" max="5" width="8.5" customWidth="1"/>
    <col min="6" max="6" width="6" customWidth="1"/>
    <col min="7" max="7" width="7.1640625" customWidth="1"/>
    <col min="8" max="9" width="6.5" customWidth="1"/>
    <col min="11" max="11" width="12.5" customWidth="1"/>
  </cols>
  <sheetData>
    <row r="1" spans="1:13" s="1" customFormat="1" x14ac:dyDescent="0.2">
      <c r="A1" s="1" t="s">
        <v>75</v>
      </c>
      <c r="B1" s="1" t="s">
        <v>76</v>
      </c>
      <c r="C1" s="1" t="s">
        <v>77</v>
      </c>
      <c r="D1" s="1" t="s">
        <v>78</v>
      </c>
      <c r="E1" s="1" t="s">
        <v>79</v>
      </c>
      <c r="F1" s="1" t="s">
        <v>86</v>
      </c>
      <c r="G1" s="1" t="s">
        <v>80</v>
      </c>
      <c r="H1" s="1" t="s">
        <v>81</v>
      </c>
      <c r="I1" s="1" t="s">
        <v>82</v>
      </c>
      <c r="J1" s="1" t="s">
        <v>83</v>
      </c>
      <c r="K1" s="1" t="s">
        <v>87</v>
      </c>
      <c r="L1" s="2" t="s">
        <v>89</v>
      </c>
    </row>
    <row r="2" spans="1:13" x14ac:dyDescent="0.2">
      <c r="A2" t="s">
        <v>0</v>
      </c>
      <c r="B2" t="s">
        <v>1</v>
      </c>
      <c r="C2" t="s">
        <v>92</v>
      </c>
      <c r="L2" t="s">
        <v>90</v>
      </c>
      <c r="M2" t="s">
        <v>88</v>
      </c>
    </row>
    <row r="3" spans="1:13" x14ac:dyDescent="0.2">
      <c r="A3" t="s">
        <v>2</v>
      </c>
      <c r="B3" t="s">
        <v>3</v>
      </c>
      <c r="D3" t="s">
        <v>84</v>
      </c>
      <c r="L3" t="s">
        <v>91</v>
      </c>
    </row>
    <row r="4" spans="1:13" x14ac:dyDescent="0.2">
      <c r="A4" t="s">
        <v>4</v>
      </c>
      <c r="B4" t="s">
        <v>5</v>
      </c>
      <c r="G4" t="s">
        <v>92</v>
      </c>
      <c r="L4" t="s">
        <v>90</v>
      </c>
      <c r="M4" t="s">
        <v>80</v>
      </c>
    </row>
    <row r="5" spans="1:13" x14ac:dyDescent="0.2">
      <c r="A5" t="s">
        <v>6</v>
      </c>
      <c r="B5" t="s">
        <v>7</v>
      </c>
      <c r="D5" t="s">
        <v>84</v>
      </c>
      <c r="L5" t="s">
        <v>91</v>
      </c>
    </row>
    <row r="6" spans="1:13" x14ac:dyDescent="0.2">
      <c r="A6" t="s">
        <v>8</v>
      </c>
      <c r="B6" t="s">
        <v>9</v>
      </c>
      <c r="G6" t="s">
        <v>84</v>
      </c>
      <c r="L6" t="s">
        <v>91</v>
      </c>
    </row>
    <row r="7" spans="1:13" x14ac:dyDescent="0.2">
      <c r="A7" t="s">
        <v>10</v>
      </c>
      <c r="B7" t="s">
        <v>11</v>
      </c>
      <c r="G7" t="s">
        <v>84</v>
      </c>
      <c r="L7" t="s">
        <v>91</v>
      </c>
    </row>
    <row r="8" spans="1:13" x14ac:dyDescent="0.2">
      <c r="A8" t="s">
        <v>12</v>
      </c>
      <c r="B8" t="s">
        <v>13</v>
      </c>
      <c r="D8" t="s">
        <v>84</v>
      </c>
      <c r="L8" t="s">
        <v>90</v>
      </c>
    </row>
    <row r="9" spans="1:13" x14ac:dyDescent="0.2">
      <c r="A9" t="s">
        <v>14</v>
      </c>
      <c r="B9" t="s">
        <v>15</v>
      </c>
      <c r="G9" t="s">
        <v>84</v>
      </c>
      <c r="L9" t="s">
        <v>91</v>
      </c>
    </row>
    <row r="10" spans="1:13" x14ac:dyDescent="0.2">
      <c r="A10" t="s">
        <v>16</v>
      </c>
      <c r="B10" t="s">
        <v>17</v>
      </c>
      <c r="F10" t="s">
        <v>84</v>
      </c>
      <c r="L10" t="s">
        <v>91</v>
      </c>
    </row>
    <row r="11" spans="1:13" x14ac:dyDescent="0.2">
      <c r="A11" t="s">
        <v>18</v>
      </c>
      <c r="B11" t="s">
        <v>19</v>
      </c>
      <c r="F11" t="s">
        <v>84</v>
      </c>
      <c r="L11" t="s">
        <v>91</v>
      </c>
    </row>
    <row r="12" spans="1:13" x14ac:dyDescent="0.2">
      <c r="A12" t="s">
        <v>20</v>
      </c>
      <c r="B12" t="s">
        <v>21</v>
      </c>
      <c r="G12" t="s">
        <v>84</v>
      </c>
      <c r="L12" t="s">
        <v>91</v>
      </c>
    </row>
    <row r="13" spans="1:13" x14ac:dyDescent="0.2">
      <c r="A13" t="s">
        <v>22</v>
      </c>
      <c r="B13" t="s">
        <v>23</v>
      </c>
      <c r="D13" t="s">
        <v>84</v>
      </c>
      <c r="L13" t="s">
        <v>91</v>
      </c>
    </row>
    <row r="14" spans="1:13" x14ac:dyDescent="0.2">
      <c r="A14" t="s">
        <v>24</v>
      </c>
      <c r="B14" t="s">
        <v>25</v>
      </c>
      <c r="E14" t="s">
        <v>84</v>
      </c>
      <c r="L14" t="s">
        <v>91</v>
      </c>
    </row>
    <row r="15" spans="1:13" x14ac:dyDescent="0.2">
      <c r="A15" t="s">
        <v>26</v>
      </c>
      <c r="B15" t="s">
        <v>27</v>
      </c>
      <c r="J15" t="s">
        <v>84</v>
      </c>
      <c r="L15" t="s">
        <v>91</v>
      </c>
    </row>
    <row r="16" spans="1:13" x14ac:dyDescent="0.2">
      <c r="A16" t="s">
        <v>28</v>
      </c>
      <c r="B16" t="s">
        <v>29</v>
      </c>
      <c r="D16" t="s">
        <v>84</v>
      </c>
      <c r="L16" t="s">
        <v>91</v>
      </c>
    </row>
    <row r="17" spans="1:12" x14ac:dyDescent="0.2">
      <c r="A17" t="s">
        <v>30</v>
      </c>
      <c r="B17" t="s">
        <v>31</v>
      </c>
      <c r="L17" t="s">
        <v>90</v>
      </c>
    </row>
    <row r="18" spans="1:12" x14ac:dyDescent="0.2">
      <c r="A18" t="s">
        <v>32</v>
      </c>
      <c r="B18" t="s">
        <v>33</v>
      </c>
      <c r="D18" t="s">
        <v>84</v>
      </c>
      <c r="L18" t="s">
        <v>91</v>
      </c>
    </row>
    <row r="19" spans="1:12" x14ac:dyDescent="0.2">
      <c r="A19" t="s">
        <v>34</v>
      </c>
      <c r="B19" t="s">
        <v>35</v>
      </c>
      <c r="E19" t="s">
        <v>84</v>
      </c>
      <c r="L19" t="s">
        <v>91</v>
      </c>
    </row>
    <row r="20" spans="1:12" x14ac:dyDescent="0.2">
      <c r="A20" t="s">
        <v>36</v>
      </c>
      <c r="B20" t="s">
        <v>37</v>
      </c>
      <c r="D20" t="s">
        <v>84</v>
      </c>
      <c r="L20" t="s">
        <v>90</v>
      </c>
    </row>
    <row r="21" spans="1:12" x14ac:dyDescent="0.2">
      <c r="A21" t="s">
        <v>38</v>
      </c>
      <c r="B21" t="s">
        <v>39</v>
      </c>
      <c r="E21" t="s">
        <v>84</v>
      </c>
      <c r="L21" t="s">
        <v>91</v>
      </c>
    </row>
    <row r="22" spans="1:12" x14ac:dyDescent="0.2">
      <c r="A22" t="s">
        <v>40</v>
      </c>
      <c r="B22" t="s">
        <v>41</v>
      </c>
      <c r="C22" t="s">
        <v>84</v>
      </c>
      <c r="L22" t="s">
        <v>91</v>
      </c>
    </row>
    <row r="23" spans="1:12" x14ac:dyDescent="0.2">
      <c r="A23" t="s">
        <v>42</v>
      </c>
      <c r="B23" t="s">
        <v>43</v>
      </c>
      <c r="H23" t="s">
        <v>84</v>
      </c>
      <c r="L23" t="s">
        <v>91</v>
      </c>
    </row>
    <row r="24" spans="1:12" x14ac:dyDescent="0.2">
      <c r="A24" t="s">
        <v>44</v>
      </c>
      <c r="B24" t="s">
        <v>45</v>
      </c>
      <c r="G24" t="s">
        <v>84</v>
      </c>
      <c r="L24" t="s">
        <v>91</v>
      </c>
    </row>
    <row r="25" spans="1:12" x14ac:dyDescent="0.2">
      <c r="A25" t="s">
        <v>46</v>
      </c>
      <c r="B25" t="s">
        <v>47</v>
      </c>
      <c r="F25" t="s">
        <v>84</v>
      </c>
      <c r="L25" t="s">
        <v>90</v>
      </c>
    </row>
    <row r="26" spans="1:12" x14ac:dyDescent="0.2">
      <c r="A26" t="s">
        <v>48</v>
      </c>
      <c r="B26" t="s">
        <v>49</v>
      </c>
      <c r="F26" t="s">
        <v>84</v>
      </c>
      <c r="L26" t="s">
        <v>91</v>
      </c>
    </row>
    <row r="27" spans="1:12" x14ac:dyDescent="0.2">
      <c r="A27" t="s">
        <v>50</v>
      </c>
      <c r="B27" t="s">
        <v>51</v>
      </c>
      <c r="G27" t="s">
        <v>84</v>
      </c>
      <c r="L27" t="s">
        <v>91</v>
      </c>
    </row>
    <row r="28" spans="1:12" x14ac:dyDescent="0.2">
      <c r="A28" t="s">
        <v>52</v>
      </c>
      <c r="B28" t="s">
        <v>74</v>
      </c>
      <c r="E28" t="s">
        <v>84</v>
      </c>
      <c r="L28" t="s">
        <v>91</v>
      </c>
    </row>
    <row r="29" spans="1:12" x14ac:dyDescent="0.2">
      <c r="A29" t="s">
        <v>2</v>
      </c>
      <c r="B29" t="s">
        <v>53</v>
      </c>
      <c r="F29" t="s">
        <v>84</v>
      </c>
      <c r="L29" t="s">
        <v>91</v>
      </c>
    </row>
    <row r="30" spans="1:12" x14ac:dyDescent="0.2">
      <c r="A30" t="s">
        <v>54</v>
      </c>
      <c r="B30" t="s">
        <v>55</v>
      </c>
      <c r="D30" t="s">
        <v>84</v>
      </c>
      <c r="L30" t="s">
        <v>91</v>
      </c>
    </row>
    <row r="31" spans="1:12" x14ac:dyDescent="0.2">
      <c r="A31" t="s">
        <v>56</v>
      </c>
      <c r="B31" t="s">
        <v>57</v>
      </c>
      <c r="G31" t="s">
        <v>84</v>
      </c>
      <c r="L31" t="s">
        <v>91</v>
      </c>
    </row>
    <row r="32" spans="1:12" x14ac:dyDescent="0.2">
      <c r="A32" t="s">
        <v>58</v>
      </c>
      <c r="B32" t="s">
        <v>59</v>
      </c>
      <c r="H32" t="s">
        <v>84</v>
      </c>
      <c r="L32" t="s">
        <v>91</v>
      </c>
    </row>
    <row r="33" spans="1:12" x14ac:dyDescent="0.2">
      <c r="A33" t="s">
        <v>60</v>
      </c>
      <c r="B33" t="s">
        <v>61</v>
      </c>
      <c r="I33" t="s">
        <v>84</v>
      </c>
      <c r="L33" t="s">
        <v>91</v>
      </c>
    </row>
    <row r="34" spans="1:12" x14ac:dyDescent="0.2">
      <c r="A34" t="s">
        <v>62</v>
      </c>
      <c r="B34" t="s">
        <v>63</v>
      </c>
      <c r="D34" t="s">
        <v>84</v>
      </c>
      <c r="L34" t="s">
        <v>91</v>
      </c>
    </row>
    <row r="35" spans="1:12" x14ac:dyDescent="0.2">
      <c r="A35" t="s">
        <v>64</v>
      </c>
      <c r="B35" t="s">
        <v>65</v>
      </c>
      <c r="F35" t="s">
        <v>84</v>
      </c>
      <c r="L35" t="s">
        <v>91</v>
      </c>
    </row>
    <row r="36" spans="1:12" x14ac:dyDescent="0.2">
      <c r="A36" t="s">
        <v>66</v>
      </c>
      <c r="B36" t="s">
        <v>67</v>
      </c>
      <c r="G36" t="s">
        <v>84</v>
      </c>
      <c r="L36" t="s">
        <v>91</v>
      </c>
    </row>
    <row r="37" spans="1:12" x14ac:dyDescent="0.2">
      <c r="A37" t="s">
        <v>68</v>
      </c>
      <c r="B37" t="s">
        <v>69</v>
      </c>
      <c r="L37" t="s">
        <v>90</v>
      </c>
    </row>
    <row r="38" spans="1:12" x14ac:dyDescent="0.2">
      <c r="A38" t="s">
        <v>70</v>
      </c>
      <c r="B38" t="s">
        <v>71</v>
      </c>
      <c r="C38" t="s">
        <v>92</v>
      </c>
      <c r="L38" t="s">
        <v>90</v>
      </c>
    </row>
    <row r="39" spans="1:12" x14ac:dyDescent="0.2">
      <c r="A39" t="s">
        <v>72</v>
      </c>
      <c r="B39" t="s">
        <v>73</v>
      </c>
      <c r="F39" t="s">
        <v>84</v>
      </c>
      <c r="L39" t="s">
        <v>90</v>
      </c>
    </row>
    <row r="41" spans="1:12" x14ac:dyDescent="0.2">
      <c r="A41" t="s">
        <v>85</v>
      </c>
      <c r="C41">
        <f>COUNTA(C2:C39)</f>
        <v>3</v>
      </c>
      <c r="D41">
        <f>COUNTA(D2:D39)</f>
        <v>9</v>
      </c>
      <c r="E41">
        <f>COUNTA(E2:E39)</f>
        <v>4</v>
      </c>
      <c r="F41">
        <f>COUNTA(F2:F39)</f>
        <v>7</v>
      </c>
      <c r="G41">
        <f>COUNTA(G2:G39)</f>
        <v>9</v>
      </c>
      <c r="H41">
        <f t="shared" ref="H41:J41" si="0">COUNTA(H2:H39)</f>
        <v>2</v>
      </c>
      <c r="I41">
        <f t="shared" si="0"/>
        <v>1</v>
      </c>
      <c r="J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essay 3</vt:lpstr>
      <vt:lpstr>Essay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Mensik</dc:creator>
  <cp:lastModifiedBy>Kristina Mensik</cp:lastModifiedBy>
  <dcterms:created xsi:type="dcterms:W3CDTF">2026-02-23T21:32:10Z</dcterms:created>
  <dcterms:modified xsi:type="dcterms:W3CDTF">2026-04-14T20:20:16Z</dcterms:modified>
</cp:coreProperties>
</file>