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11/Documents/GitHub/phd/"/>
    </mc:Choice>
  </mc:AlternateContent>
  <xr:revisionPtr revIDLastSave="0" documentId="13_ncr:1_{8AB46B5C-BF42-9F4F-9E7A-DAC5CDA6C714}" xr6:coauthVersionLast="47" xr6:coauthVersionMax="47" xr10:uidLastSave="{00000000-0000-0000-0000-000000000000}"/>
  <bookViews>
    <workbookView xWindow="8920" yWindow="-20920" windowWidth="16340" windowHeight="19280" xr2:uid="{B94DB17C-919E-1C4A-B529-5E14F6099E2A}"/>
  </bookViews>
  <sheets>
    <sheet name="Sheet1" sheetId="1" r:id="rId1"/>
    <sheet name="Essay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1" l="1"/>
  <c r="W11" i="1"/>
  <c r="W12" i="1"/>
  <c r="W31" i="1"/>
  <c r="U40" i="1"/>
  <c r="U3" i="1"/>
  <c r="V3" i="1" s="1"/>
  <c r="U4" i="1"/>
  <c r="V4" i="1" s="1"/>
  <c r="U5" i="1"/>
  <c r="V5" i="1" s="1"/>
  <c r="U6" i="1"/>
  <c r="V6" i="1" s="1"/>
  <c r="U7" i="1"/>
  <c r="V7" i="1" s="1"/>
  <c r="U8" i="1"/>
  <c r="W8" i="1" s="1"/>
  <c r="U9" i="1"/>
  <c r="V9" i="1" s="1"/>
  <c r="U10" i="1"/>
  <c r="V10" i="1" s="1"/>
  <c r="U11" i="1"/>
  <c r="V11" i="1" s="1"/>
  <c r="U12" i="1"/>
  <c r="V12" i="1" s="1"/>
  <c r="U13" i="1"/>
  <c r="W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W20" i="1" s="1"/>
  <c r="U21" i="1"/>
  <c r="W21" i="1" s="1"/>
  <c r="U22" i="1"/>
  <c r="W22" i="1" s="1"/>
  <c r="U23" i="1"/>
  <c r="W23" i="1" s="1"/>
  <c r="U24" i="1"/>
  <c r="V24" i="1" s="1"/>
  <c r="U25" i="1"/>
  <c r="V25" i="1" s="1"/>
  <c r="U26" i="1"/>
  <c r="V26" i="1" s="1"/>
  <c r="U27" i="1"/>
  <c r="V27" i="1" s="1"/>
  <c r="U28" i="1"/>
  <c r="W28" i="1" s="1"/>
  <c r="U29" i="1"/>
  <c r="V29" i="1" s="1"/>
  <c r="U30" i="1"/>
  <c r="V30" i="1" s="1"/>
  <c r="U31" i="1"/>
  <c r="V31" i="1" s="1"/>
  <c r="U32" i="1"/>
  <c r="V32" i="1" s="1"/>
  <c r="U33" i="1"/>
  <c r="W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2" i="1"/>
  <c r="W2" i="1" s="1"/>
  <c r="C41" i="2"/>
  <c r="H41" i="2"/>
  <c r="I41" i="2"/>
  <c r="J41" i="2"/>
  <c r="G41" i="2"/>
  <c r="F41" i="2"/>
  <c r="E41" i="2"/>
  <c r="D41" i="2"/>
  <c r="W32" i="1" l="1"/>
  <c r="W30" i="1"/>
  <c r="V22" i="1"/>
  <c r="V21" i="1"/>
  <c r="V20" i="1"/>
  <c r="V23" i="1"/>
  <c r="V28" i="1"/>
  <c r="W38" i="1"/>
  <c r="W37" i="1"/>
  <c r="W19" i="1"/>
  <c r="W18" i="1"/>
  <c r="W17" i="1"/>
  <c r="W29" i="1"/>
  <c r="V8" i="1"/>
  <c r="W27" i="1"/>
  <c r="W9" i="1"/>
  <c r="V2" i="1"/>
  <c r="W39" i="1"/>
  <c r="W7" i="1"/>
  <c r="W6" i="1"/>
  <c r="W5" i="1"/>
  <c r="V33" i="1"/>
  <c r="W26" i="1"/>
  <c r="W16" i="1"/>
  <c r="V13" i="1"/>
  <c r="W34" i="1"/>
  <c r="W24" i="1"/>
  <c r="W14" i="1"/>
  <c r="W4" i="1"/>
  <c r="W36" i="1"/>
  <c r="W35" i="1"/>
  <c r="W25" i="1"/>
  <c r="W15" i="1"/>
  <c r="W3" i="1"/>
</calcChain>
</file>

<file path=xl/sharedStrings.xml><?xml version="1.0" encoding="utf-8"?>
<sst xmlns="http://schemas.openxmlformats.org/spreadsheetml/2006/main" count="263" uniqueCount="104">
  <si>
    <t>Avery</t>
  </si>
  <si>
    <t>Armstrong</t>
  </si>
  <si>
    <t>Carolina</t>
  </si>
  <si>
    <t>Barroso</t>
  </si>
  <si>
    <t>Zalina</t>
  </si>
  <si>
    <t>Bell</t>
  </si>
  <si>
    <t>Sophia</t>
  </si>
  <si>
    <t>Brokenshire</t>
  </si>
  <si>
    <t>Nyteeh</t>
  </si>
  <si>
    <t>Camara</t>
  </si>
  <si>
    <t>Reagan</t>
  </si>
  <si>
    <t>Ciabattoni</t>
  </si>
  <si>
    <t>Gabe</t>
  </si>
  <si>
    <t>Cooper</t>
  </si>
  <si>
    <t>Caleb</t>
  </si>
  <si>
    <t>Dorris</t>
  </si>
  <si>
    <t>Mia</t>
  </si>
  <si>
    <t>Duran</t>
  </si>
  <si>
    <t>Ava</t>
  </si>
  <si>
    <t>Epstein</t>
  </si>
  <si>
    <t>Poppy</t>
  </si>
  <si>
    <t>Farrell</t>
  </si>
  <si>
    <t>Michael</t>
  </si>
  <si>
    <t>Ferneini</t>
  </si>
  <si>
    <t>Ricky</t>
  </si>
  <si>
    <t>Figueroa-Carrillo</t>
  </si>
  <si>
    <t>Luz</t>
  </si>
  <si>
    <t>Fontana-Mansilla</t>
  </si>
  <si>
    <t>Isaac</t>
  </si>
  <si>
    <t>Greenberg</t>
  </si>
  <si>
    <t>Carina</t>
  </si>
  <si>
    <t>Kehoe</t>
  </si>
  <si>
    <t>Jiwan</t>
  </si>
  <si>
    <t>Kim</t>
  </si>
  <si>
    <t>Christian</t>
  </si>
  <si>
    <t>Linen</t>
  </si>
  <si>
    <t>Tamia</t>
  </si>
  <si>
    <t>Mayfield</t>
  </si>
  <si>
    <t>Akash</t>
  </si>
  <si>
    <t>Mishra</t>
  </si>
  <si>
    <t>Noor</t>
  </si>
  <si>
    <t>Nazir</t>
  </si>
  <si>
    <t>Chloe</t>
  </si>
  <si>
    <t>Patricof</t>
  </si>
  <si>
    <t>Sloan</t>
  </si>
  <si>
    <t>Peterson</t>
  </si>
  <si>
    <t>Nadia</t>
  </si>
  <si>
    <t>Preci</t>
  </si>
  <si>
    <t>Kiana</t>
  </si>
  <si>
    <t>Raoufiniai</t>
  </si>
  <si>
    <t>Clark</t>
  </si>
  <si>
    <t>Raustiala</t>
  </si>
  <si>
    <t>Lizeth</t>
  </si>
  <si>
    <t>Schwartz</t>
  </si>
  <si>
    <t>Jonah</t>
  </si>
  <si>
    <t>Schwarz</t>
  </si>
  <si>
    <t>Stephanie</t>
  </si>
  <si>
    <t>Sensel</t>
  </si>
  <si>
    <t>Amalie</t>
  </si>
  <si>
    <t>Seth</t>
  </si>
  <si>
    <t>Ariela</t>
  </si>
  <si>
    <t>Shuchman</t>
  </si>
  <si>
    <t>Ella</t>
  </si>
  <si>
    <t>Stastney</t>
  </si>
  <si>
    <t>Tess</t>
  </si>
  <si>
    <t>Taetle</t>
  </si>
  <si>
    <t>Charles</t>
  </si>
  <si>
    <t>Truesdale</t>
  </si>
  <si>
    <t>Cynthea</t>
  </si>
  <si>
    <t>Wang</t>
  </si>
  <si>
    <t>Terrence</t>
  </si>
  <si>
    <t>Ware</t>
  </si>
  <si>
    <t>Brielle</t>
  </si>
  <si>
    <t>Widelo</t>
  </si>
  <si>
    <t>Rocha Rocha</t>
  </si>
  <si>
    <t>First</t>
  </si>
  <si>
    <t>Last</t>
  </si>
  <si>
    <t>Marx</t>
  </si>
  <si>
    <t>FDR</t>
  </si>
  <si>
    <t>Rawls</t>
  </si>
  <si>
    <t>Okin</t>
  </si>
  <si>
    <t>Frye</t>
  </si>
  <si>
    <t>MLK</t>
  </si>
  <si>
    <t>Kumlicka</t>
  </si>
  <si>
    <t>X</t>
  </si>
  <si>
    <t>Total/Thinker</t>
  </si>
  <si>
    <t>WC</t>
  </si>
  <si>
    <t>Note</t>
  </si>
  <si>
    <t>KM printed</t>
  </si>
  <si>
    <t>Submitted Hard Copy</t>
  </si>
  <si>
    <t>No</t>
  </si>
  <si>
    <t>Yes</t>
  </si>
  <si>
    <t>x</t>
  </si>
  <si>
    <t>to March 19</t>
  </si>
  <si>
    <t>Div 13</t>
  </si>
  <si>
    <t>TEST</t>
  </si>
  <si>
    <t>div 22</t>
  </si>
  <si>
    <t>Generous Letter</t>
  </si>
  <si>
    <t>C</t>
  </si>
  <si>
    <t>D</t>
  </si>
  <si>
    <t>F</t>
  </si>
  <si>
    <t>A</t>
  </si>
  <si>
    <t>B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</si>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</sst>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0" borderId="0" xfId="0" applyFont="1"/>
    <xf numFmtId="16" fontId="3" fillId="0" borderId="0" xfId="0" applyNumberFormat="1" applyFont="1"/>
    <xf numFmtId="16" fontId="3" fillId="2" borderId="0" xfId="0" applyNumberFormat="1" applyFont="1" applyFill="1"/>
    <xf numFmtId="9" fontId="0" fillId="2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CF09-2AEF-AC40-8AFF-A105DCB34E0C}">
  <dimension ref="A1:AJ40"/>
  <sheetViews>
    <sheetView tabSelected="1" workbookViewId="0">
      <selection activeCell="U41" sqref="U41"/>
    </sheetView>
  </sheetViews>
  <sheetFormatPr baseColWidth="10" defaultRowHeight="16" x14ac:dyDescent="0.2"/>
  <cols>
    <col min="1" max="1" width="26" customWidth="1"/>
    <col min="3" max="20" width="10.83203125" customWidth="1"/>
    <col min="21" max="24" width="23.83203125" customWidth="1"/>
  </cols>
  <sheetData>
    <row r="1" spans="1:36" s="3" customFormat="1" x14ac:dyDescent="0.2">
      <c r="A1" s="3" t="s">
        <v>75</v>
      </c>
      <c r="B1" s="3" t="s">
        <v>76</v>
      </c>
      <c r="C1" s="4">
        <v>46030</v>
      </c>
      <c r="D1" s="4">
        <v>46035</v>
      </c>
      <c r="E1" s="4">
        <v>46037</v>
      </c>
      <c r="F1" s="4">
        <v>46042</v>
      </c>
      <c r="G1" s="4">
        <v>46044</v>
      </c>
      <c r="H1" s="4">
        <v>46049</v>
      </c>
      <c r="I1" s="4">
        <v>46051</v>
      </c>
      <c r="J1" s="4">
        <v>46056</v>
      </c>
      <c r="K1" s="4">
        <v>46058</v>
      </c>
      <c r="L1" s="4">
        <v>46063</v>
      </c>
      <c r="M1" s="4">
        <v>46065</v>
      </c>
      <c r="N1" s="4">
        <v>46070</v>
      </c>
      <c r="O1" s="4">
        <v>46072</v>
      </c>
      <c r="P1" s="4">
        <v>46077</v>
      </c>
      <c r="Q1" s="4">
        <v>46079</v>
      </c>
      <c r="R1" s="4">
        <v>46084</v>
      </c>
      <c r="S1" s="4">
        <v>46086</v>
      </c>
      <c r="T1" s="4">
        <v>46098</v>
      </c>
      <c r="U1" s="5" t="s">
        <v>93</v>
      </c>
      <c r="V1" s="5" t="s">
        <v>94</v>
      </c>
      <c r="W1" s="5" t="s">
        <v>96</v>
      </c>
      <c r="X1" s="5" t="s">
        <v>97</v>
      </c>
      <c r="Y1" s="4">
        <v>46100</v>
      </c>
      <c r="Z1" s="4">
        <v>46105</v>
      </c>
      <c r="AA1" s="4">
        <v>46107</v>
      </c>
      <c r="AB1" s="4">
        <v>46112</v>
      </c>
      <c r="AC1" s="4">
        <v>46114</v>
      </c>
      <c r="AD1" s="4">
        <v>46117</v>
      </c>
      <c r="AE1" s="4">
        <v>46119</v>
      </c>
      <c r="AF1" s="4">
        <v>46121</v>
      </c>
      <c r="AG1" s="4">
        <v>46126</v>
      </c>
      <c r="AH1" s="4">
        <v>46128</v>
      </c>
      <c r="AI1" s="4">
        <v>46133</v>
      </c>
      <c r="AJ1" s="4">
        <v>46142</v>
      </c>
    </row>
    <row r="2" spans="1:36" x14ac:dyDescent="0.2">
      <c r="A2" t="s">
        <v>0</v>
      </c>
      <c r="B2" t="s">
        <v>1</v>
      </c>
      <c r="D2">
        <v>2</v>
      </c>
      <c r="G2">
        <v>2</v>
      </c>
      <c r="I2">
        <v>2</v>
      </c>
      <c r="J2">
        <v>2</v>
      </c>
      <c r="K2">
        <v>2</v>
      </c>
      <c r="L2">
        <v>2</v>
      </c>
      <c r="M2">
        <v>2</v>
      </c>
      <c r="P2">
        <v>1</v>
      </c>
      <c r="U2" s="1">
        <f>SUM(C2:T2)</f>
        <v>15</v>
      </c>
      <c r="V2" s="6">
        <f>U2/36</f>
        <v>0.41666666666666669</v>
      </c>
      <c r="W2" s="6">
        <f xml:space="preserve"> U2/22</f>
        <v>0.68181818181818177</v>
      </c>
      <c r="X2" s="6" t="s">
        <v>98</v>
      </c>
    </row>
    <row r="3" spans="1:36" x14ac:dyDescent="0.2">
      <c r="A3" t="s">
        <v>2</v>
      </c>
      <c r="B3" t="s">
        <v>3</v>
      </c>
      <c r="D3">
        <v>2</v>
      </c>
      <c r="K3">
        <v>1</v>
      </c>
      <c r="L3">
        <v>2</v>
      </c>
      <c r="N3">
        <v>1</v>
      </c>
      <c r="O3">
        <v>2</v>
      </c>
      <c r="Q3">
        <v>2</v>
      </c>
      <c r="R3">
        <v>2</v>
      </c>
      <c r="U3" s="1">
        <f>SUM(C3:T3)</f>
        <v>12</v>
      </c>
      <c r="V3" s="6">
        <f t="shared" ref="V3:V39" si="0">U3/36</f>
        <v>0.33333333333333331</v>
      </c>
      <c r="W3" s="6">
        <f t="shared" ref="W3:W39" si="1" xml:space="preserve"> U3/22</f>
        <v>0.54545454545454541</v>
      </c>
      <c r="X3" s="6" t="s">
        <v>99</v>
      </c>
    </row>
    <row r="4" spans="1:36" x14ac:dyDescent="0.2">
      <c r="A4" t="s">
        <v>4</v>
      </c>
      <c r="B4" t="s">
        <v>5</v>
      </c>
      <c r="I4">
        <v>2</v>
      </c>
      <c r="L4">
        <v>2</v>
      </c>
      <c r="Q4">
        <v>2</v>
      </c>
      <c r="S4">
        <v>2</v>
      </c>
      <c r="U4" s="1">
        <f>SUM(C4:T4)</f>
        <v>8</v>
      </c>
      <c r="V4" s="6">
        <f t="shared" si="0"/>
        <v>0.22222222222222221</v>
      </c>
      <c r="W4" s="6">
        <f t="shared" si="1"/>
        <v>0.36363636363636365</v>
      </c>
      <c r="X4" s="6" t="s">
        <v>100</v>
      </c>
    </row>
    <row r="5" spans="1:36" x14ac:dyDescent="0.2">
      <c r="A5" t="s">
        <v>6</v>
      </c>
      <c r="B5" t="s">
        <v>7</v>
      </c>
      <c r="E5">
        <v>1</v>
      </c>
      <c r="G5">
        <v>1</v>
      </c>
      <c r="K5">
        <v>2</v>
      </c>
      <c r="L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1">
        <f>SUM(C5:T5)</f>
        <v>20</v>
      </c>
      <c r="V5" s="6">
        <f t="shared" si="0"/>
        <v>0.55555555555555558</v>
      </c>
      <c r="W5" s="6">
        <f t="shared" si="1"/>
        <v>0.90909090909090906</v>
      </c>
      <c r="X5" s="6" t="s">
        <v>101</v>
      </c>
    </row>
    <row r="6" spans="1:36" x14ac:dyDescent="0.2">
      <c r="A6" t="s">
        <v>8</v>
      </c>
      <c r="B6" t="s">
        <v>9</v>
      </c>
      <c r="I6">
        <v>1</v>
      </c>
      <c r="J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U6" s="1">
        <f>SUM(C6:T6)</f>
        <v>17</v>
      </c>
      <c r="V6" s="6">
        <f t="shared" si="0"/>
        <v>0.47222222222222221</v>
      </c>
      <c r="W6" s="6">
        <f t="shared" si="1"/>
        <v>0.77272727272727271</v>
      </c>
      <c r="X6" s="6" t="s">
        <v>102</v>
      </c>
    </row>
    <row r="7" spans="1:36" x14ac:dyDescent="0.2">
      <c r="A7" t="s">
        <v>10</v>
      </c>
      <c r="B7" t="s">
        <v>11</v>
      </c>
      <c r="D7">
        <v>2</v>
      </c>
      <c r="U7" s="1">
        <f>SUM(C7:T7)</f>
        <v>2</v>
      </c>
      <c r="V7" s="6">
        <f t="shared" si="0"/>
        <v>5.5555555555555552E-2</v>
      </c>
      <c r="W7" s="6">
        <f t="shared" si="1"/>
        <v>9.0909090909090912E-2</v>
      </c>
      <c r="X7" s="6" t="s">
        <v>100</v>
      </c>
    </row>
    <row r="8" spans="1:36" x14ac:dyDescent="0.2">
      <c r="A8" t="s">
        <v>12</v>
      </c>
      <c r="B8" t="s">
        <v>13</v>
      </c>
      <c r="N8">
        <v>2</v>
      </c>
      <c r="P8">
        <v>1</v>
      </c>
      <c r="U8" s="1">
        <f>SUM(C8:T8)</f>
        <v>3</v>
      </c>
      <c r="V8" s="6">
        <f t="shared" si="0"/>
        <v>8.3333333333333329E-2</v>
      </c>
      <c r="W8" s="6">
        <f t="shared" si="1"/>
        <v>0.13636363636363635</v>
      </c>
      <c r="X8" s="6" t="s">
        <v>100</v>
      </c>
    </row>
    <row r="9" spans="1:36" x14ac:dyDescent="0.2">
      <c r="A9" t="s">
        <v>14</v>
      </c>
      <c r="B9" t="s">
        <v>15</v>
      </c>
      <c r="J9">
        <v>2</v>
      </c>
      <c r="L9">
        <v>2</v>
      </c>
      <c r="N9">
        <v>2</v>
      </c>
      <c r="O9">
        <v>2</v>
      </c>
      <c r="Q9">
        <v>2</v>
      </c>
      <c r="R9">
        <v>2</v>
      </c>
      <c r="T9">
        <v>2</v>
      </c>
      <c r="U9" s="1">
        <f>SUM(C9:T9)</f>
        <v>14</v>
      </c>
      <c r="V9" s="6">
        <f t="shared" si="0"/>
        <v>0.3888888888888889</v>
      </c>
      <c r="W9" s="6">
        <f t="shared" si="1"/>
        <v>0.63636363636363635</v>
      </c>
      <c r="X9" s="6" t="s">
        <v>99</v>
      </c>
    </row>
    <row r="10" spans="1:36" x14ac:dyDescent="0.2">
      <c r="A10" t="s">
        <v>16</v>
      </c>
      <c r="B10" t="s">
        <v>17</v>
      </c>
      <c r="J10">
        <v>2</v>
      </c>
      <c r="L10">
        <v>2</v>
      </c>
      <c r="Q10">
        <v>2</v>
      </c>
      <c r="U10" s="1">
        <f>SUM(C10:T10)</f>
        <v>6</v>
      </c>
      <c r="V10" s="6">
        <f t="shared" si="0"/>
        <v>0.16666666666666666</v>
      </c>
      <c r="W10" s="6">
        <f t="shared" si="1"/>
        <v>0.27272727272727271</v>
      </c>
      <c r="X10" s="6" t="s">
        <v>100</v>
      </c>
    </row>
    <row r="11" spans="1:36" x14ac:dyDescent="0.2">
      <c r="A11" t="s">
        <v>18</v>
      </c>
      <c r="B11" t="s">
        <v>19</v>
      </c>
      <c r="E11">
        <v>1</v>
      </c>
      <c r="G11">
        <v>2</v>
      </c>
      <c r="J11">
        <v>2</v>
      </c>
      <c r="K11">
        <v>2</v>
      </c>
      <c r="N11">
        <v>2</v>
      </c>
      <c r="O11">
        <v>2</v>
      </c>
      <c r="Q11">
        <v>2</v>
      </c>
      <c r="S11">
        <v>2</v>
      </c>
      <c r="T11">
        <v>2</v>
      </c>
      <c r="U11" s="1">
        <f>SUM(C11:T11)</f>
        <v>17</v>
      </c>
      <c r="V11" s="6">
        <f t="shared" si="0"/>
        <v>0.47222222222222221</v>
      </c>
      <c r="W11" s="6">
        <f t="shared" si="1"/>
        <v>0.77272727272727271</v>
      </c>
      <c r="X11" s="6" t="s">
        <v>102</v>
      </c>
    </row>
    <row r="12" spans="1:36" x14ac:dyDescent="0.2">
      <c r="A12" t="s">
        <v>20</v>
      </c>
      <c r="B12" t="s">
        <v>21</v>
      </c>
      <c r="I12">
        <v>2</v>
      </c>
      <c r="J12">
        <v>2</v>
      </c>
      <c r="L12">
        <v>2</v>
      </c>
      <c r="M12">
        <v>2</v>
      </c>
      <c r="N12">
        <v>2</v>
      </c>
      <c r="O12">
        <v>2</v>
      </c>
      <c r="Q12">
        <v>2</v>
      </c>
      <c r="R12">
        <v>2</v>
      </c>
      <c r="S12">
        <v>2</v>
      </c>
      <c r="T12">
        <v>2</v>
      </c>
      <c r="U12" s="1">
        <f>SUM(C12:T12)</f>
        <v>20</v>
      </c>
      <c r="V12" s="6">
        <f t="shared" si="0"/>
        <v>0.55555555555555558</v>
      </c>
      <c r="W12" s="6">
        <f t="shared" si="1"/>
        <v>0.90909090909090906</v>
      </c>
      <c r="X12" s="6" t="s">
        <v>101</v>
      </c>
    </row>
    <row r="13" spans="1:36" x14ac:dyDescent="0.2">
      <c r="A13" t="s">
        <v>22</v>
      </c>
      <c r="B13" t="s">
        <v>23</v>
      </c>
      <c r="D13">
        <v>2</v>
      </c>
      <c r="J13">
        <v>1</v>
      </c>
      <c r="K13">
        <v>2</v>
      </c>
      <c r="L13">
        <v>2</v>
      </c>
      <c r="O13">
        <v>2</v>
      </c>
      <c r="P13">
        <v>2</v>
      </c>
      <c r="R13">
        <v>2</v>
      </c>
      <c r="S13">
        <v>2</v>
      </c>
      <c r="T13">
        <v>2</v>
      </c>
      <c r="U13" s="1">
        <f>SUM(C13:T13)</f>
        <v>17</v>
      </c>
      <c r="V13" s="6">
        <f t="shared" si="0"/>
        <v>0.47222222222222221</v>
      </c>
      <c r="W13" s="6">
        <f t="shared" si="1"/>
        <v>0.77272727272727271</v>
      </c>
      <c r="X13" s="6" t="s">
        <v>102</v>
      </c>
    </row>
    <row r="14" spans="1:36" x14ac:dyDescent="0.2">
      <c r="A14" t="s">
        <v>24</v>
      </c>
      <c r="B14" t="s">
        <v>25</v>
      </c>
      <c r="L14">
        <v>2</v>
      </c>
      <c r="O14">
        <v>2</v>
      </c>
      <c r="P14">
        <v>2</v>
      </c>
      <c r="S14">
        <v>2</v>
      </c>
      <c r="T14">
        <v>2</v>
      </c>
      <c r="U14" s="1">
        <f>SUM(C14:T14)</f>
        <v>10</v>
      </c>
      <c r="V14" s="6">
        <f t="shared" si="0"/>
        <v>0.27777777777777779</v>
      </c>
      <c r="W14" s="6">
        <f t="shared" si="1"/>
        <v>0.45454545454545453</v>
      </c>
      <c r="X14" s="6" t="s">
        <v>100</v>
      </c>
    </row>
    <row r="15" spans="1:36" x14ac:dyDescent="0.2">
      <c r="A15" t="s">
        <v>26</v>
      </c>
      <c r="B15" t="s">
        <v>27</v>
      </c>
      <c r="G15">
        <v>2</v>
      </c>
      <c r="J15">
        <v>2</v>
      </c>
      <c r="K15">
        <v>2</v>
      </c>
      <c r="M15">
        <v>2</v>
      </c>
      <c r="N15">
        <v>2</v>
      </c>
      <c r="O15">
        <v>2</v>
      </c>
      <c r="P15">
        <v>2</v>
      </c>
      <c r="Q15">
        <v>2</v>
      </c>
      <c r="S15">
        <v>2</v>
      </c>
      <c r="U15" s="1">
        <f>SUM(C15:T15)</f>
        <v>18</v>
      </c>
      <c r="V15" s="6">
        <f t="shared" si="0"/>
        <v>0.5</v>
      </c>
      <c r="W15" s="6">
        <f t="shared" si="1"/>
        <v>0.81818181818181823</v>
      </c>
      <c r="X15" s="6" t="s">
        <v>103</v>
      </c>
    </row>
    <row r="16" spans="1:36" x14ac:dyDescent="0.2">
      <c r="A16" t="s">
        <v>28</v>
      </c>
      <c r="B16" t="s">
        <v>29</v>
      </c>
      <c r="D16">
        <v>2</v>
      </c>
      <c r="J16">
        <v>1</v>
      </c>
      <c r="K16">
        <v>2</v>
      </c>
      <c r="M16">
        <v>2</v>
      </c>
      <c r="R16">
        <v>2</v>
      </c>
      <c r="T16">
        <v>2</v>
      </c>
      <c r="U16" s="1">
        <f>SUM(C16:T16)</f>
        <v>11</v>
      </c>
      <c r="V16" s="6">
        <f t="shared" si="0"/>
        <v>0.30555555555555558</v>
      </c>
      <c r="W16" s="6">
        <f t="shared" si="1"/>
        <v>0.5</v>
      </c>
      <c r="X16" s="6"/>
    </row>
    <row r="17" spans="1:24" x14ac:dyDescent="0.2">
      <c r="A17" t="s">
        <v>30</v>
      </c>
      <c r="B17" t="s">
        <v>31</v>
      </c>
      <c r="D17">
        <v>2</v>
      </c>
      <c r="J17">
        <v>1</v>
      </c>
      <c r="K17">
        <v>2</v>
      </c>
      <c r="L17">
        <v>2</v>
      </c>
      <c r="O17">
        <v>2</v>
      </c>
      <c r="P17">
        <v>2</v>
      </c>
      <c r="T17">
        <v>2</v>
      </c>
      <c r="U17" s="1">
        <f>SUM(C17:T17)</f>
        <v>13</v>
      </c>
      <c r="V17" s="6">
        <f t="shared" si="0"/>
        <v>0.3611111111111111</v>
      </c>
      <c r="W17" s="6">
        <f t="shared" si="1"/>
        <v>0.59090909090909094</v>
      </c>
      <c r="X17" s="6"/>
    </row>
    <row r="18" spans="1:24" x14ac:dyDescent="0.2">
      <c r="A18" t="s">
        <v>32</v>
      </c>
      <c r="B18" t="s">
        <v>33</v>
      </c>
      <c r="G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 s="1">
        <f>SUM(C18:T18)</f>
        <v>22</v>
      </c>
      <c r="V18" s="6">
        <f t="shared" si="0"/>
        <v>0.61111111111111116</v>
      </c>
      <c r="W18" s="6">
        <f t="shared" si="1"/>
        <v>1</v>
      </c>
      <c r="X18" s="6"/>
    </row>
    <row r="19" spans="1:24" x14ac:dyDescent="0.2">
      <c r="A19" t="s">
        <v>34</v>
      </c>
      <c r="B19" t="s">
        <v>35</v>
      </c>
      <c r="G19">
        <v>2</v>
      </c>
      <c r="I19">
        <v>2</v>
      </c>
      <c r="M19">
        <v>2</v>
      </c>
      <c r="O19">
        <v>2</v>
      </c>
      <c r="P19">
        <v>2</v>
      </c>
      <c r="T19">
        <v>2</v>
      </c>
      <c r="U19" s="1">
        <f>SUM(C19:T19)</f>
        <v>12</v>
      </c>
      <c r="V19" s="6">
        <f t="shared" si="0"/>
        <v>0.33333333333333331</v>
      </c>
      <c r="W19" s="6">
        <f t="shared" si="1"/>
        <v>0.54545454545454541</v>
      </c>
      <c r="X19" s="6"/>
    </row>
    <row r="20" spans="1:24" x14ac:dyDescent="0.2">
      <c r="A20" t="s">
        <v>36</v>
      </c>
      <c r="B20" t="s">
        <v>37</v>
      </c>
      <c r="J20">
        <v>2</v>
      </c>
      <c r="K20">
        <v>2</v>
      </c>
      <c r="N20">
        <v>2</v>
      </c>
      <c r="P20">
        <v>2</v>
      </c>
      <c r="T20">
        <v>2</v>
      </c>
      <c r="U20" s="1">
        <f>SUM(C20:T20)</f>
        <v>10</v>
      </c>
      <c r="V20" s="6">
        <f t="shared" si="0"/>
        <v>0.27777777777777779</v>
      </c>
      <c r="W20" s="6">
        <f t="shared" si="1"/>
        <v>0.45454545454545453</v>
      </c>
      <c r="X20" s="6"/>
    </row>
    <row r="21" spans="1:24" x14ac:dyDescent="0.2">
      <c r="A21" t="s">
        <v>38</v>
      </c>
      <c r="B21" t="s">
        <v>39</v>
      </c>
      <c r="K21">
        <v>2</v>
      </c>
      <c r="L21">
        <v>2</v>
      </c>
      <c r="P21">
        <v>1</v>
      </c>
      <c r="Q21">
        <v>2</v>
      </c>
      <c r="T21">
        <v>2</v>
      </c>
      <c r="U21" s="1">
        <f>SUM(C21:T21)</f>
        <v>9</v>
      </c>
      <c r="V21" s="6">
        <f t="shared" si="0"/>
        <v>0.25</v>
      </c>
      <c r="W21" s="6">
        <f t="shared" si="1"/>
        <v>0.40909090909090912</v>
      </c>
      <c r="X21" s="6"/>
    </row>
    <row r="22" spans="1:24" x14ac:dyDescent="0.2">
      <c r="A22" t="s">
        <v>40</v>
      </c>
      <c r="B22" t="s">
        <v>41</v>
      </c>
      <c r="G22">
        <v>1</v>
      </c>
      <c r="H22">
        <v>2</v>
      </c>
      <c r="I22">
        <v>2</v>
      </c>
      <c r="J22">
        <v>2</v>
      </c>
      <c r="K22">
        <v>2</v>
      </c>
      <c r="L22">
        <v>0</v>
      </c>
      <c r="M22">
        <v>0</v>
      </c>
      <c r="N22">
        <v>2</v>
      </c>
      <c r="O22">
        <v>0</v>
      </c>
      <c r="S22">
        <v>2</v>
      </c>
      <c r="U22" s="1">
        <f>SUM(C22:T22)</f>
        <v>13</v>
      </c>
      <c r="V22" s="6">
        <f t="shared" si="0"/>
        <v>0.3611111111111111</v>
      </c>
      <c r="W22" s="6">
        <f t="shared" si="1"/>
        <v>0.59090909090909094</v>
      </c>
      <c r="X22" s="6"/>
    </row>
    <row r="23" spans="1:24" x14ac:dyDescent="0.2">
      <c r="A23" t="s">
        <v>42</v>
      </c>
      <c r="B23" t="s">
        <v>43</v>
      </c>
      <c r="P23">
        <v>2</v>
      </c>
      <c r="U23" s="1">
        <f>SUM(C23:T23)</f>
        <v>2</v>
      </c>
      <c r="V23" s="6">
        <f t="shared" si="0"/>
        <v>5.5555555555555552E-2</v>
      </c>
      <c r="W23" s="6">
        <f t="shared" si="1"/>
        <v>9.0909090909090912E-2</v>
      </c>
      <c r="X23" s="6"/>
    </row>
    <row r="24" spans="1:24" x14ac:dyDescent="0.2">
      <c r="A24" t="s">
        <v>44</v>
      </c>
      <c r="B24" t="s">
        <v>45</v>
      </c>
      <c r="S24">
        <v>2</v>
      </c>
      <c r="U24" s="1">
        <f>SUM(C24:T24)</f>
        <v>2</v>
      </c>
      <c r="V24" s="6">
        <f t="shared" si="0"/>
        <v>5.5555555555555552E-2</v>
      </c>
      <c r="W24" s="6">
        <f t="shared" si="1"/>
        <v>9.0909090909090912E-2</v>
      </c>
      <c r="X24" s="6"/>
    </row>
    <row r="25" spans="1:24" x14ac:dyDescent="0.2">
      <c r="A25" t="s">
        <v>46</v>
      </c>
      <c r="B25" t="s">
        <v>47</v>
      </c>
      <c r="D25">
        <v>2</v>
      </c>
      <c r="M25">
        <v>2</v>
      </c>
      <c r="U25" s="1">
        <f>SUM(C25:T25)</f>
        <v>4</v>
      </c>
      <c r="V25" s="6">
        <f t="shared" si="0"/>
        <v>0.1111111111111111</v>
      </c>
      <c r="W25" s="6">
        <f t="shared" si="1"/>
        <v>0.18181818181818182</v>
      </c>
      <c r="X25" s="6"/>
    </row>
    <row r="26" spans="1:24" x14ac:dyDescent="0.2">
      <c r="A26" t="s">
        <v>48</v>
      </c>
      <c r="B26" t="s">
        <v>49</v>
      </c>
      <c r="G26">
        <v>1</v>
      </c>
      <c r="J26">
        <v>2</v>
      </c>
      <c r="K26">
        <v>2</v>
      </c>
      <c r="L26">
        <v>2</v>
      </c>
      <c r="M26">
        <v>2</v>
      </c>
      <c r="O26">
        <v>2</v>
      </c>
      <c r="P26">
        <v>2</v>
      </c>
      <c r="R26">
        <v>2</v>
      </c>
      <c r="T26">
        <v>2</v>
      </c>
      <c r="U26" s="1">
        <f>SUM(C26:T26)</f>
        <v>17</v>
      </c>
      <c r="V26" s="6">
        <f t="shared" si="0"/>
        <v>0.47222222222222221</v>
      </c>
      <c r="W26" s="6">
        <f t="shared" si="1"/>
        <v>0.77272727272727271</v>
      </c>
      <c r="X26" s="6"/>
    </row>
    <row r="27" spans="1:24" x14ac:dyDescent="0.2">
      <c r="A27" t="s">
        <v>50</v>
      </c>
      <c r="B27" t="s">
        <v>51</v>
      </c>
      <c r="I27">
        <v>2</v>
      </c>
      <c r="J27">
        <v>2</v>
      </c>
      <c r="Q27">
        <v>2</v>
      </c>
      <c r="R27">
        <v>2</v>
      </c>
      <c r="S27">
        <v>2</v>
      </c>
      <c r="T27">
        <v>2</v>
      </c>
      <c r="U27" s="1">
        <f>SUM(C27:T27)</f>
        <v>12</v>
      </c>
      <c r="V27" s="6">
        <f t="shared" si="0"/>
        <v>0.33333333333333331</v>
      </c>
      <c r="W27" s="6">
        <f t="shared" si="1"/>
        <v>0.54545454545454541</v>
      </c>
      <c r="X27" s="6"/>
    </row>
    <row r="28" spans="1:24" x14ac:dyDescent="0.2">
      <c r="A28" t="s">
        <v>52</v>
      </c>
      <c r="B28" t="s">
        <v>74</v>
      </c>
      <c r="M28">
        <v>2</v>
      </c>
      <c r="U28" s="1">
        <f>SUM(C28:T28)</f>
        <v>2</v>
      </c>
      <c r="V28" s="6">
        <f t="shared" si="0"/>
        <v>5.5555555555555552E-2</v>
      </c>
      <c r="W28" s="6">
        <f t="shared" si="1"/>
        <v>9.0909090909090912E-2</v>
      </c>
      <c r="X28" s="6"/>
    </row>
    <row r="29" spans="1:24" x14ac:dyDescent="0.2">
      <c r="A29" t="s">
        <v>2</v>
      </c>
      <c r="B29" t="s">
        <v>53</v>
      </c>
      <c r="D29">
        <v>2</v>
      </c>
      <c r="K29">
        <v>2</v>
      </c>
      <c r="L29">
        <v>2</v>
      </c>
      <c r="O29">
        <v>2</v>
      </c>
      <c r="Q29">
        <v>2</v>
      </c>
      <c r="R29">
        <v>2</v>
      </c>
      <c r="S29">
        <v>2</v>
      </c>
      <c r="U29" s="1">
        <f>SUM(C29:T29)</f>
        <v>14</v>
      </c>
      <c r="V29" s="6">
        <f t="shared" si="0"/>
        <v>0.3888888888888889</v>
      </c>
      <c r="W29" s="6">
        <f t="shared" si="1"/>
        <v>0.63636363636363635</v>
      </c>
      <c r="X29" s="6"/>
    </row>
    <row r="30" spans="1:24" x14ac:dyDescent="0.2">
      <c r="A30" t="s">
        <v>54</v>
      </c>
      <c r="B30" t="s">
        <v>55</v>
      </c>
      <c r="D30">
        <v>2</v>
      </c>
      <c r="J30">
        <v>2</v>
      </c>
      <c r="L30">
        <v>2</v>
      </c>
      <c r="P30">
        <v>2</v>
      </c>
      <c r="R30">
        <v>2</v>
      </c>
      <c r="U30" s="1">
        <f>SUM(C30:T30)</f>
        <v>10</v>
      </c>
      <c r="V30" s="6">
        <f t="shared" si="0"/>
        <v>0.27777777777777779</v>
      </c>
      <c r="W30" s="6">
        <f t="shared" si="1"/>
        <v>0.45454545454545453</v>
      </c>
      <c r="X30" s="6"/>
    </row>
    <row r="31" spans="1:24" x14ac:dyDescent="0.2">
      <c r="A31" t="s">
        <v>56</v>
      </c>
      <c r="B31" t="s">
        <v>57</v>
      </c>
      <c r="I31">
        <v>2</v>
      </c>
      <c r="J31">
        <v>2</v>
      </c>
      <c r="K31">
        <v>2</v>
      </c>
      <c r="M31">
        <v>2</v>
      </c>
      <c r="O31">
        <v>2</v>
      </c>
      <c r="U31" s="1">
        <f>SUM(C31:T31)</f>
        <v>10</v>
      </c>
      <c r="V31" s="6">
        <f t="shared" si="0"/>
        <v>0.27777777777777779</v>
      </c>
      <c r="W31" s="6">
        <f t="shared" si="1"/>
        <v>0.45454545454545453</v>
      </c>
      <c r="X31" s="6"/>
    </row>
    <row r="32" spans="1:24" x14ac:dyDescent="0.2">
      <c r="A32" t="s">
        <v>58</v>
      </c>
      <c r="B32" t="s">
        <v>59</v>
      </c>
      <c r="O32">
        <v>1</v>
      </c>
      <c r="P32">
        <v>1</v>
      </c>
      <c r="R32">
        <v>2</v>
      </c>
      <c r="U32" s="1">
        <f>SUM(C32:T32)</f>
        <v>4</v>
      </c>
      <c r="V32" s="6">
        <f t="shared" si="0"/>
        <v>0.1111111111111111</v>
      </c>
      <c r="W32" s="6">
        <f t="shared" si="1"/>
        <v>0.18181818181818182</v>
      </c>
      <c r="X32" s="6"/>
    </row>
    <row r="33" spans="1:24" x14ac:dyDescent="0.2">
      <c r="A33" t="s">
        <v>60</v>
      </c>
      <c r="B33" t="s">
        <v>61</v>
      </c>
      <c r="D33">
        <v>2</v>
      </c>
      <c r="F33">
        <v>1</v>
      </c>
      <c r="I33">
        <v>2</v>
      </c>
      <c r="J33">
        <v>2</v>
      </c>
      <c r="K33">
        <v>2</v>
      </c>
      <c r="L33">
        <v>1</v>
      </c>
      <c r="M33">
        <v>2</v>
      </c>
      <c r="O33">
        <v>1</v>
      </c>
      <c r="P33">
        <v>2</v>
      </c>
      <c r="Q33">
        <v>2</v>
      </c>
      <c r="R33">
        <v>2</v>
      </c>
      <c r="S33">
        <v>1</v>
      </c>
      <c r="T33">
        <v>2</v>
      </c>
      <c r="U33" s="1">
        <f>SUM(C33:T33)</f>
        <v>22</v>
      </c>
      <c r="V33" s="6">
        <f t="shared" si="0"/>
        <v>0.61111111111111116</v>
      </c>
      <c r="W33" s="6">
        <f t="shared" si="1"/>
        <v>1</v>
      </c>
      <c r="X33" s="6"/>
    </row>
    <row r="34" spans="1:24" x14ac:dyDescent="0.2">
      <c r="A34" t="s">
        <v>62</v>
      </c>
      <c r="B34" t="s">
        <v>63</v>
      </c>
      <c r="D34">
        <v>2</v>
      </c>
      <c r="F34">
        <v>1</v>
      </c>
      <c r="G34">
        <v>2</v>
      </c>
      <c r="K34">
        <v>2</v>
      </c>
      <c r="L34">
        <v>2</v>
      </c>
      <c r="M34">
        <v>2</v>
      </c>
      <c r="O34">
        <v>2</v>
      </c>
      <c r="P34">
        <v>2</v>
      </c>
      <c r="Q34">
        <v>2</v>
      </c>
      <c r="R34">
        <v>2</v>
      </c>
      <c r="S34">
        <v>2</v>
      </c>
      <c r="U34" s="1">
        <f>SUM(C34:T34)</f>
        <v>21</v>
      </c>
      <c r="V34" s="6">
        <f t="shared" si="0"/>
        <v>0.58333333333333337</v>
      </c>
      <c r="W34" s="6">
        <f t="shared" si="1"/>
        <v>0.95454545454545459</v>
      </c>
      <c r="X34" s="6"/>
    </row>
    <row r="35" spans="1:24" x14ac:dyDescent="0.2">
      <c r="A35" t="s">
        <v>64</v>
      </c>
      <c r="B35" t="s">
        <v>65</v>
      </c>
      <c r="G35">
        <v>1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S35">
        <v>2</v>
      </c>
      <c r="U35" s="1">
        <f>SUM(C35:T35)</f>
        <v>19</v>
      </c>
      <c r="V35" s="6">
        <f t="shared" si="0"/>
        <v>0.52777777777777779</v>
      </c>
      <c r="W35" s="6">
        <f t="shared" si="1"/>
        <v>0.86363636363636365</v>
      </c>
      <c r="X35" s="6"/>
    </row>
    <row r="36" spans="1:24" x14ac:dyDescent="0.2">
      <c r="A36" t="s">
        <v>66</v>
      </c>
      <c r="B36" t="s">
        <v>67</v>
      </c>
      <c r="I36">
        <v>2</v>
      </c>
      <c r="K36">
        <v>1</v>
      </c>
      <c r="N36">
        <v>2</v>
      </c>
      <c r="P36">
        <v>2</v>
      </c>
      <c r="U36" s="1">
        <f>SUM(C36:T36)</f>
        <v>7</v>
      </c>
      <c r="V36" s="6">
        <f t="shared" si="0"/>
        <v>0.19444444444444445</v>
      </c>
      <c r="W36" s="6">
        <f t="shared" si="1"/>
        <v>0.31818181818181818</v>
      </c>
      <c r="X36" s="6"/>
    </row>
    <row r="37" spans="1:24" x14ac:dyDescent="0.2">
      <c r="A37" t="s">
        <v>68</v>
      </c>
      <c r="B37" t="s">
        <v>69</v>
      </c>
      <c r="U37" s="1">
        <f>SUM(C37:T37)</f>
        <v>0</v>
      </c>
      <c r="V37" s="6">
        <f t="shared" si="0"/>
        <v>0</v>
      </c>
      <c r="W37" s="6">
        <f t="shared" si="1"/>
        <v>0</v>
      </c>
      <c r="X37" s="6"/>
    </row>
    <row r="38" spans="1:24" x14ac:dyDescent="0.2">
      <c r="A38" t="s">
        <v>70</v>
      </c>
      <c r="B38" t="s">
        <v>71</v>
      </c>
      <c r="G38">
        <v>2</v>
      </c>
      <c r="J38">
        <v>2</v>
      </c>
      <c r="M38">
        <v>2</v>
      </c>
      <c r="O38">
        <v>1</v>
      </c>
      <c r="T38">
        <v>2</v>
      </c>
      <c r="U38" s="1">
        <f>SUM(C38:T38)</f>
        <v>9</v>
      </c>
      <c r="V38" s="6">
        <f t="shared" si="0"/>
        <v>0.25</v>
      </c>
      <c r="W38" s="6">
        <f t="shared" si="1"/>
        <v>0.40909090909090912</v>
      </c>
      <c r="X38" s="6"/>
    </row>
    <row r="39" spans="1:24" x14ac:dyDescent="0.2">
      <c r="A39" t="s">
        <v>72</v>
      </c>
      <c r="B39" t="s">
        <v>73</v>
      </c>
      <c r="I39">
        <v>1</v>
      </c>
      <c r="J39">
        <v>2</v>
      </c>
      <c r="M39">
        <v>2</v>
      </c>
      <c r="N39">
        <v>1</v>
      </c>
      <c r="O39">
        <v>2</v>
      </c>
      <c r="P39">
        <v>2</v>
      </c>
      <c r="U39" s="1">
        <f>SUM(C39:T39)</f>
        <v>10</v>
      </c>
      <c r="V39" s="6">
        <f t="shared" si="0"/>
        <v>0.27777777777777779</v>
      </c>
      <c r="W39" s="6">
        <f t="shared" si="1"/>
        <v>0.45454545454545453</v>
      </c>
      <c r="X39" s="6"/>
    </row>
    <row r="40" spans="1:24" x14ac:dyDescent="0.2">
      <c r="A40" t="s">
        <v>95</v>
      </c>
      <c r="B40" t="s">
        <v>95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1">
        <f>SUM(C40:T40)</f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BCEF-4552-CE4D-BE68-23600D60C9E9}">
  <dimension ref="A1:M41"/>
  <sheetViews>
    <sheetView workbookViewId="0">
      <selection activeCell="J36" sqref="J36"/>
    </sheetView>
  </sheetViews>
  <sheetFormatPr baseColWidth="10" defaultRowHeight="16" x14ac:dyDescent="0.2"/>
  <cols>
    <col min="1" max="1" width="26" customWidth="1"/>
    <col min="3" max="3" width="7.6640625" customWidth="1"/>
    <col min="4" max="4" width="6.6640625" customWidth="1"/>
    <col min="5" max="5" width="8.5" customWidth="1"/>
    <col min="6" max="6" width="6" customWidth="1"/>
    <col min="7" max="7" width="7.1640625" customWidth="1"/>
    <col min="8" max="9" width="6.5" customWidth="1"/>
    <col min="11" max="11" width="12.5" customWidth="1"/>
  </cols>
  <sheetData>
    <row r="1" spans="1:13" s="1" customFormat="1" x14ac:dyDescent="0.2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86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87</v>
      </c>
      <c r="L1" s="2" t="s">
        <v>89</v>
      </c>
    </row>
    <row r="2" spans="1:13" x14ac:dyDescent="0.2">
      <c r="A2" t="s">
        <v>0</v>
      </c>
      <c r="B2" t="s">
        <v>1</v>
      </c>
      <c r="C2" t="s">
        <v>92</v>
      </c>
      <c r="L2" t="s">
        <v>90</v>
      </c>
      <c r="M2" t="s">
        <v>88</v>
      </c>
    </row>
    <row r="3" spans="1:13" x14ac:dyDescent="0.2">
      <c r="A3" t="s">
        <v>2</v>
      </c>
      <c r="B3" t="s">
        <v>3</v>
      </c>
      <c r="D3" t="s">
        <v>84</v>
      </c>
      <c r="L3" t="s">
        <v>91</v>
      </c>
    </row>
    <row r="4" spans="1:13" x14ac:dyDescent="0.2">
      <c r="A4" t="s">
        <v>4</v>
      </c>
      <c r="B4" t="s">
        <v>5</v>
      </c>
      <c r="G4" t="s">
        <v>92</v>
      </c>
      <c r="L4" t="s">
        <v>90</v>
      </c>
      <c r="M4" t="s">
        <v>80</v>
      </c>
    </row>
    <row r="5" spans="1:13" x14ac:dyDescent="0.2">
      <c r="A5" t="s">
        <v>6</v>
      </c>
      <c r="B5" t="s">
        <v>7</v>
      </c>
      <c r="D5" t="s">
        <v>84</v>
      </c>
      <c r="L5" t="s">
        <v>91</v>
      </c>
    </row>
    <row r="6" spans="1:13" x14ac:dyDescent="0.2">
      <c r="A6" t="s">
        <v>8</v>
      </c>
      <c r="B6" t="s">
        <v>9</v>
      </c>
      <c r="G6" t="s">
        <v>84</v>
      </c>
      <c r="L6" t="s">
        <v>91</v>
      </c>
    </row>
    <row r="7" spans="1:13" x14ac:dyDescent="0.2">
      <c r="A7" t="s">
        <v>10</v>
      </c>
      <c r="B7" t="s">
        <v>11</v>
      </c>
      <c r="G7" t="s">
        <v>84</v>
      </c>
      <c r="L7" t="s">
        <v>91</v>
      </c>
    </row>
    <row r="8" spans="1:13" x14ac:dyDescent="0.2">
      <c r="A8" t="s">
        <v>12</v>
      </c>
      <c r="B8" t="s">
        <v>13</v>
      </c>
      <c r="D8" t="s">
        <v>84</v>
      </c>
      <c r="L8" t="s">
        <v>90</v>
      </c>
    </row>
    <row r="9" spans="1:13" x14ac:dyDescent="0.2">
      <c r="A9" t="s">
        <v>14</v>
      </c>
      <c r="B9" t="s">
        <v>15</v>
      </c>
      <c r="G9" t="s">
        <v>84</v>
      </c>
      <c r="L9" t="s">
        <v>91</v>
      </c>
    </row>
    <row r="10" spans="1:13" x14ac:dyDescent="0.2">
      <c r="A10" t="s">
        <v>16</v>
      </c>
      <c r="B10" t="s">
        <v>17</v>
      </c>
      <c r="F10" t="s">
        <v>84</v>
      </c>
      <c r="L10" t="s">
        <v>91</v>
      </c>
    </row>
    <row r="11" spans="1:13" x14ac:dyDescent="0.2">
      <c r="A11" t="s">
        <v>18</v>
      </c>
      <c r="B11" t="s">
        <v>19</v>
      </c>
      <c r="F11" t="s">
        <v>84</v>
      </c>
      <c r="L11" t="s">
        <v>91</v>
      </c>
    </row>
    <row r="12" spans="1:13" x14ac:dyDescent="0.2">
      <c r="A12" t="s">
        <v>20</v>
      </c>
      <c r="B12" t="s">
        <v>21</v>
      </c>
      <c r="G12" t="s">
        <v>84</v>
      </c>
      <c r="L12" t="s">
        <v>91</v>
      </c>
    </row>
    <row r="13" spans="1:13" x14ac:dyDescent="0.2">
      <c r="A13" t="s">
        <v>22</v>
      </c>
      <c r="B13" t="s">
        <v>23</v>
      </c>
      <c r="D13" t="s">
        <v>84</v>
      </c>
      <c r="L13" t="s">
        <v>91</v>
      </c>
    </row>
    <row r="14" spans="1:13" x14ac:dyDescent="0.2">
      <c r="A14" t="s">
        <v>24</v>
      </c>
      <c r="B14" t="s">
        <v>25</v>
      </c>
      <c r="E14" t="s">
        <v>84</v>
      </c>
      <c r="L14" t="s">
        <v>91</v>
      </c>
    </row>
    <row r="15" spans="1:13" x14ac:dyDescent="0.2">
      <c r="A15" t="s">
        <v>26</v>
      </c>
      <c r="B15" t="s">
        <v>27</v>
      </c>
      <c r="J15" t="s">
        <v>84</v>
      </c>
      <c r="L15" t="s">
        <v>91</v>
      </c>
    </row>
    <row r="16" spans="1:13" x14ac:dyDescent="0.2">
      <c r="A16" t="s">
        <v>28</v>
      </c>
      <c r="B16" t="s">
        <v>29</v>
      </c>
      <c r="D16" t="s">
        <v>84</v>
      </c>
      <c r="L16" t="s">
        <v>91</v>
      </c>
    </row>
    <row r="17" spans="1:12" x14ac:dyDescent="0.2">
      <c r="A17" t="s">
        <v>30</v>
      </c>
      <c r="B17" t="s">
        <v>31</v>
      </c>
      <c r="L17" t="s">
        <v>90</v>
      </c>
    </row>
    <row r="18" spans="1:12" x14ac:dyDescent="0.2">
      <c r="A18" t="s">
        <v>32</v>
      </c>
      <c r="B18" t="s">
        <v>33</v>
      </c>
      <c r="D18" t="s">
        <v>84</v>
      </c>
      <c r="L18" t="s">
        <v>91</v>
      </c>
    </row>
    <row r="19" spans="1:12" x14ac:dyDescent="0.2">
      <c r="A19" t="s">
        <v>34</v>
      </c>
      <c r="B19" t="s">
        <v>35</v>
      </c>
      <c r="E19" t="s">
        <v>84</v>
      </c>
      <c r="L19" t="s">
        <v>91</v>
      </c>
    </row>
    <row r="20" spans="1:12" x14ac:dyDescent="0.2">
      <c r="A20" t="s">
        <v>36</v>
      </c>
      <c r="B20" t="s">
        <v>37</v>
      </c>
      <c r="D20" t="s">
        <v>84</v>
      </c>
      <c r="L20" t="s">
        <v>90</v>
      </c>
    </row>
    <row r="21" spans="1:12" x14ac:dyDescent="0.2">
      <c r="A21" t="s">
        <v>38</v>
      </c>
      <c r="B21" t="s">
        <v>39</v>
      </c>
      <c r="E21" t="s">
        <v>84</v>
      </c>
      <c r="L21" t="s">
        <v>91</v>
      </c>
    </row>
    <row r="22" spans="1:12" x14ac:dyDescent="0.2">
      <c r="A22" t="s">
        <v>40</v>
      </c>
      <c r="B22" t="s">
        <v>41</v>
      </c>
      <c r="C22" t="s">
        <v>84</v>
      </c>
      <c r="L22" t="s">
        <v>91</v>
      </c>
    </row>
    <row r="23" spans="1:12" x14ac:dyDescent="0.2">
      <c r="A23" t="s">
        <v>42</v>
      </c>
      <c r="B23" t="s">
        <v>43</v>
      </c>
      <c r="H23" t="s">
        <v>84</v>
      </c>
      <c r="L23" t="s">
        <v>91</v>
      </c>
    </row>
    <row r="24" spans="1:12" x14ac:dyDescent="0.2">
      <c r="A24" t="s">
        <v>44</v>
      </c>
      <c r="B24" t="s">
        <v>45</v>
      </c>
      <c r="G24" t="s">
        <v>84</v>
      </c>
      <c r="L24" t="s">
        <v>91</v>
      </c>
    </row>
    <row r="25" spans="1:12" x14ac:dyDescent="0.2">
      <c r="A25" t="s">
        <v>46</v>
      </c>
      <c r="B25" t="s">
        <v>47</v>
      </c>
      <c r="F25" t="s">
        <v>84</v>
      </c>
      <c r="L25" t="s">
        <v>90</v>
      </c>
    </row>
    <row r="26" spans="1:12" x14ac:dyDescent="0.2">
      <c r="A26" t="s">
        <v>48</v>
      </c>
      <c r="B26" t="s">
        <v>49</v>
      </c>
      <c r="F26" t="s">
        <v>84</v>
      </c>
      <c r="L26" t="s">
        <v>91</v>
      </c>
    </row>
    <row r="27" spans="1:12" x14ac:dyDescent="0.2">
      <c r="A27" t="s">
        <v>50</v>
      </c>
      <c r="B27" t="s">
        <v>51</v>
      </c>
      <c r="G27" t="s">
        <v>84</v>
      </c>
      <c r="L27" t="s">
        <v>91</v>
      </c>
    </row>
    <row r="28" spans="1:12" x14ac:dyDescent="0.2">
      <c r="A28" t="s">
        <v>52</v>
      </c>
      <c r="B28" t="s">
        <v>74</v>
      </c>
      <c r="E28" t="s">
        <v>84</v>
      </c>
      <c r="L28" t="s">
        <v>91</v>
      </c>
    </row>
    <row r="29" spans="1:12" x14ac:dyDescent="0.2">
      <c r="A29" t="s">
        <v>2</v>
      </c>
      <c r="B29" t="s">
        <v>53</v>
      </c>
      <c r="F29" t="s">
        <v>84</v>
      </c>
      <c r="L29" t="s">
        <v>91</v>
      </c>
    </row>
    <row r="30" spans="1:12" x14ac:dyDescent="0.2">
      <c r="A30" t="s">
        <v>54</v>
      </c>
      <c r="B30" t="s">
        <v>55</v>
      </c>
      <c r="D30" t="s">
        <v>84</v>
      </c>
      <c r="L30" t="s">
        <v>91</v>
      </c>
    </row>
    <row r="31" spans="1:12" x14ac:dyDescent="0.2">
      <c r="A31" t="s">
        <v>56</v>
      </c>
      <c r="B31" t="s">
        <v>57</v>
      </c>
      <c r="G31" t="s">
        <v>84</v>
      </c>
      <c r="L31" t="s">
        <v>91</v>
      </c>
    </row>
    <row r="32" spans="1:12" x14ac:dyDescent="0.2">
      <c r="A32" t="s">
        <v>58</v>
      </c>
      <c r="B32" t="s">
        <v>59</v>
      </c>
      <c r="H32" t="s">
        <v>84</v>
      </c>
      <c r="L32" t="s">
        <v>91</v>
      </c>
    </row>
    <row r="33" spans="1:12" x14ac:dyDescent="0.2">
      <c r="A33" t="s">
        <v>60</v>
      </c>
      <c r="B33" t="s">
        <v>61</v>
      </c>
      <c r="I33" t="s">
        <v>84</v>
      </c>
      <c r="L33" t="s">
        <v>91</v>
      </c>
    </row>
    <row r="34" spans="1:12" x14ac:dyDescent="0.2">
      <c r="A34" t="s">
        <v>62</v>
      </c>
      <c r="B34" t="s">
        <v>63</v>
      </c>
      <c r="D34" t="s">
        <v>84</v>
      </c>
      <c r="L34" t="s">
        <v>91</v>
      </c>
    </row>
    <row r="35" spans="1:12" x14ac:dyDescent="0.2">
      <c r="A35" t="s">
        <v>64</v>
      </c>
      <c r="B35" t="s">
        <v>65</v>
      </c>
      <c r="F35" t="s">
        <v>84</v>
      </c>
      <c r="L35" t="s">
        <v>91</v>
      </c>
    </row>
    <row r="36" spans="1:12" x14ac:dyDescent="0.2">
      <c r="A36" t="s">
        <v>66</v>
      </c>
      <c r="B36" t="s">
        <v>67</v>
      </c>
      <c r="G36" t="s">
        <v>84</v>
      </c>
      <c r="L36" t="s">
        <v>91</v>
      </c>
    </row>
    <row r="37" spans="1:12" x14ac:dyDescent="0.2">
      <c r="A37" t="s">
        <v>68</v>
      </c>
      <c r="B37" t="s">
        <v>69</v>
      </c>
      <c r="L37" t="s">
        <v>90</v>
      </c>
    </row>
    <row r="38" spans="1:12" x14ac:dyDescent="0.2">
      <c r="A38" t="s">
        <v>70</v>
      </c>
      <c r="B38" t="s">
        <v>71</v>
      </c>
      <c r="C38" t="s">
        <v>92</v>
      </c>
      <c r="L38" t="s">
        <v>90</v>
      </c>
    </row>
    <row r="39" spans="1:12" x14ac:dyDescent="0.2">
      <c r="A39" t="s">
        <v>72</v>
      </c>
      <c r="B39" t="s">
        <v>73</v>
      </c>
      <c r="F39" t="s">
        <v>84</v>
      </c>
      <c r="L39" t="s">
        <v>90</v>
      </c>
    </row>
    <row r="41" spans="1:12" x14ac:dyDescent="0.2">
      <c r="A41" t="s">
        <v>85</v>
      </c>
      <c r="C41">
        <f>COUNTA(C2:C39)</f>
        <v>3</v>
      </c>
      <c r="D41">
        <f>COUNTA(D2:D39)</f>
        <v>9</v>
      </c>
      <c r="E41">
        <f>COUNTA(E2:E39)</f>
        <v>4</v>
      </c>
      <c r="F41">
        <f>COUNTA(F2:F39)</f>
        <v>7</v>
      </c>
      <c r="G41">
        <f>COUNTA(G2:G39)</f>
        <v>9</v>
      </c>
      <c r="H41">
        <f t="shared" ref="H41:J41" si="0">COUNTA(H2:H39)</f>
        <v>2</v>
      </c>
      <c r="I41">
        <f t="shared" si="0"/>
        <v>1</v>
      </c>
      <c r="J4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Essay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2026-02-23T21:32:10Z</dcterms:created>
  <dcterms:modified xsi:type="dcterms:W3CDTF">2026-03-19T23:22:23Z</dcterms:modified>
</cp:coreProperties>
</file>