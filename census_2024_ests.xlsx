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codeName="ThisWorkbook" defaultThemeVersion="124226"/>
  <mc:AlternateContent xmlns:mc="http://schemas.openxmlformats.org/markup-compatibility/2006">
    <mc:Choice Requires="x15">
      <x15ac:absPath xmlns:x15ac="http://schemas.microsoft.com/office/spreadsheetml/2010/11/ac" url="/Users/kom11/Documents/GitHub/phd/"/>
    </mc:Choice>
  </mc:AlternateContent>
  <xr:revisionPtr revIDLastSave="0" documentId="8_{0C770789-6D24-424B-BFE7-8C8E188F1CE3}" xr6:coauthVersionLast="47" xr6:coauthVersionMax="47" xr10:uidLastSave="{00000000-0000-0000-0000-000000000000}"/>
  <bookViews>
    <workbookView xWindow="4380" yWindow="-21000" windowWidth="34200" windowHeight="21000" xr2:uid="{00000000-000D-0000-FFFF-FFFF00000000}"/>
  </bookViews>
  <sheets>
    <sheet name="NC-EST2024-SR11H" sheetId="1" r:id="rId1"/>
  </sheets>
  <definedNames>
    <definedName name="_xlnm.Print_Area" localSheetId="0">'NC-EST2024-SR11H'!$A$3:$G$138</definedName>
    <definedName name="_xlnm.Print_Titles" localSheetId="0">'NC-EST2024-SR11H'!$A:$A,'NC-EST2024-SR11H'!$3:$4</definedName>
    <definedName name="sc_est2024_sr11h_0">'NC-EST2024-SR11H'!$A$4:$C$131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 i="1" l="1"/>
  <c r="D34" i="1"/>
  <c r="D18" i="1"/>
  <c r="D16" i="1"/>
  <c r="D15" i="1"/>
  <c r="D21" i="1" s="1"/>
  <c r="D14" i="1"/>
  <c r="G21" i="1"/>
  <c r="D17" i="1"/>
</calcChain>
</file>

<file path=xl/sharedStrings.xml><?xml version="1.0" encoding="utf-8"?>
<sst xmlns="http://schemas.openxmlformats.org/spreadsheetml/2006/main" count="141" uniqueCount="46">
  <si>
    <t>TOTAL POPULATION</t>
  </si>
  <si>
    <t>table with row headers in column A and column headers in rows 3 through 4. (leading dots indicate sub-parts)</t>
  </si>
  <si>
    <t>Annual Estimates of the Resident Population by Sex, Race, and Hispanic Origin for the United States: April 1, 2020 to July 1, 2024</t>
  </si>
  <si>
    <t>Sex, Race, and Hispanic Origin</t>
  </si>
  <si>
    <t>April 1, 2020
Estimates Base</t>
  </si>
  <si>
    <t>Population Estimate (as of July 1)</t>
  </si>
  <si>
    <r>
      <t>.</t>
    </r>
    <r>
      <rPr>
        <sz val="10"/>
        <color theme="1"/>
        <rFont val="arial"/>
        <family val="2"/>
      </rPr>
      <t>One Race:</t>
    </r>
  </si>
  <si>
    <r>
      <t>..</t>
    </r>
    <r>
      <rPr>
        <sz val="10"/>
        <color theme="1"/>
        <rFont val="arial"/>
        <family val="2"/>
      </rPr>
      <t>White</t>
    </r>
  </si>
  <si>
    <r>
      <t>..</t>
    </r>
    <r>
      <rPr>
        <sz val="10"/>
        <color theme="1"/>
        <rFont val="arial"/>
        <family val="2"/>
      </rPr>
      <t>Black or African American</t>
    </r>
  </si>
  <si>
    <r>
      <t>..</t>
    </r>
    <r>
      <rPr>
        <sz val="10"/>
        <color theme="1"/>
        <rFont val="arial"/>
        <family val="2"/>
      </rPr>
      <t>American Indian and Alaska Native</t>
    </r>
  </si>
  <si>
    <r>
      <t>..</t>
    </r>
    <r>
      <rPr>
        <sz val="10"/>
        <color theme="1"/>
        <rFont val="arial"/>
        <family val="2"/>
      </rPr>
      <t>Asian</t>
    </r>
  </si>
  <si>
    <r>
      <t>..</t>
    </r>
    <r>
      <rPr>
        <sz val="10"/>
        <color theme="1"/>
        <rFont val="arial"/>
        <family val="2"/>
      </rPr>
      <t>Native Hawaiian and Other Pacific Islander</t>
    </r>
  </si>
  <si>
    <r>
      <t>.</t>
    </r>
    <r>
      <rPr>
        <sz val="10"/>
        <color theme="1"/>
        <rFont val="arial"/>
        <family val="2"/>
      </rPr>
      <t>Two or More Races</t>
    </r>
  </si>
  <si>
    <r>
      <t>.</t>
    </r>
    <r>
      <rPr>
        <sz val="10"/>
        <color theme="1"/>
        <rFont val="arial"/>
        <family val="2"/>
      </rPr>
      <t>Race Alone or in Combination:</t>
    </r>
    <r>
      <rPr>
        <vertAlign val="superscript"/>
        <sz val="10"/>
        <color theme="1"/>
        <rFont val="arial"/>
        <family val="2"/>
      </rPr>
      <t>1</t>
    </r>
  </si>
  <si>
    <r>
      <t>.</t>
    </r>
    <r>
      <rPr>
        <b/>
        <sz val="10"/>
        <color theme="1"/>
        <rFont val="arial"/>
        <family val="2"/>
      </rPr>
      <t>NOT HISPANIC</t>
    </r>
  </si>
  <si>
    <r>
      <t>..</t>
    </r>
    <r>
      <rPr>
        <sz val="10"/>
        <color theme="1"/>
        <rFont val="arial"/>
        <family val="2"/>
      </rPr>
      <t>One Race:</t>
    </r>
  </si>
  <si>
    <r>
      <t>...</t>
    </r>
    <r>
      <rPr>
        <sz val="10"/>
        <color theme="1"/>
        <rFont val="arial"/>
        <family val="2"/>
      </rPr>
      <t>White</t>
    </r>
  </si>
  <si>
    <r>
      <t>...</t>
    </r>
    <r>
      <rPr>
        <sz val="10"/>
        <color theme="1"/>
        <rFont val="arial"/>
        <family val="2"/>
      </rPr>
      <t>Black or African American</t>
    </r>
  </si>
  <si>
    <r>
      <t>...</t>
    </r>
    <r>
      <rPr>
        <sz val="10"/>
        <color theme="1"/>
        <rFont val="arial"/>
        <family val="2"/>
      </rPr>
      <t>American Indian and Alaska Native</t>
    </r>
  </si>
  <si>
    <r>
      <t>...</t>
    </r>
    <r>
      <rPr>
        <sz val="10"/>
        <color theme="1"/>
        <rFont val="arial"/>
        <family val="2"/>
      </rPr>
      <t>Asian</t>
    </r>
  </si>
  <si>
    <r>
      <t>...</t>
    </r>
    <r>
      <rPr>
        <sz val="10"/>
        <color theme="1"/>
        <rFont val="arial"/>
        <family val="2"/>
      </rPr>
      <t>Native Hawaiian and Other Pacific Islander</t>
    </r>
  </si>
  <si>
    <r>
      <t>..</t>
    </r>
    <r>
      <rPr>
        <sz val="10"/>
        <color theme="1"/>
        <rFont val="arial"/>
        <family val="2"/>
      </rPr>
      <t>Two or More Races</t>
    </r>
  </si>
  <si>
    <r>
      <t>..</t>
    </r>
    <r>
      <rPr>
        <sz val="10"/>
        <color theme="1"/>
        <rFont val="arial"/>
        <family val="2"/>
      </rPr>
      <t>Race Alone or in Combination:</t>
    </r>
    <r>
      <rPr>
        <vertAlign val="superscript"/>
        <sz val="10"/>
        <color theme="1"/>
        <rFont val="arial"/>
        <family val="2"/>
      </rPr>
      <t>1</t>
    </r>
  </si>
  <si>
    <r>
      <t>.</t>
    </r>
    <r>
      <rPr>
        <b/>
        <sz val="10"/>
        <color theme="1"/>
        <rFont val="arial"/>
        <family val="2"/>
      </rPr>
      <t>HISPANIC</t>
    </r>
  </si>
  <si>
    <r>
      <t>.</t>
    </r>
    <r>
      <rPr>
        <b/>
        <sz val="10"/>
        <color theme="1"/>
        <rFont val="arial"/>
        <family val="2"/>
      </rPr>
      <t>MALE</t>
    </r>
  </si>
  <si>
    <r>
      <t>..</t>
    </r>
    <r>
      <rPr>
        <b/>
        <sz val="10"/>
        <color theme="1"/>
        <rFont val="arial"/>
        <family val="2"/>
      </rPr>
      <t>NOT HISPANIC</t>
    </r>
  </si>
  <si>
    <r>
      <t>...</t>
    </r>
    <r>
      <rPr>
        <sz val="10"/>
        <color theme="1"/>
        <rFont val="arial"/>
        <family val="2"/>
      </rPr>
      <t>One Race:</t>
    </r>
  </si>
  <si>
    <r>
      <t>....</t>
    </r>
    <r>
      <rPr>
        <sz val="10"/>
        <color theme="1"/>
        <rFont val="arial"/>
        <family val="2"/>
      </rPr>
      <t>White</t>
    </r>
  </si>
  <si>
    <r>
      <t>....</t>
    </r>
    <r>
      <rPr>
        <sz val="10"/>
        <color theme="1"/>
        <rFont val="arial"/>
        <family val="2"/>
      </rPr>
      <t>Black or African American</t>
    </r>
  </si>
  <si>
    <r>
      <t>....</t>
    </r>
    <r>
      <rPr>
        <sz val="10"/>
        <color theme="1"/>
        <rFont val="arial"/>
        <family val="2"/>
      </rPr>
      <t>American Indian and Alaska Native</t>
    </r>
  </si>
  <si>
    <r>
      <t>....</t>
    </r>
    <r>
      <rPr>
        <sz val="10"/>
        <color theme="1"/>
        <rFont val="arial"/>
        <family val="2"/>
      </rPr>
      <t>Asian</t>
    </r>
  </si>
  <si>
    <r>
      <t>....</t>
    </r>
    <r>
      <rPr>
        <sz val="10"/>
        <color theme="1"/>
        <rFont val="arial"/>
        <family val="2"/>
      </rPr>
      <t>Native Hawaiian and Other Pacific Islander</t>
    </r>
  </si>
  <si>
    <r>
      <t>...</t>
    </r>
    <r>
      <rPr>
        <sz val="10"/>
        <color theme="1"/>
        <rFont val="arial"/>
        <family val="2"/>
      </rPr>
      <t>Two or More Races</t>
    </r>
  </si>
  <si>
    <r>
      <t>...</t>
    </r>
    <r>
      <rPr>
        <sz val="10"/>
        <color theme="1"/>
        <rFont val="arial"/>
        <family val="2"/>
      </rPr>
      <t>Race Alone or in Combination:</t>
    </r>
    <r>
      <rPr>
        <vertAlign val="superscript"/>
        <sz val="10"/>
        <color theme="1"/>
        <rFont val="arial"/>
        <family val="2"/>
      </rPr>
      <t>1</t>
    </r>
  </si>
  <si>
    <r>
      <t>..</t>
    </r>
    <r>
      <rPr>
        <b/>
        <sz val="10"/>
        <color theme="1"/>
        <rFont val="arial"/>
        <family val="2"/>
      </rPr>
      <t>HISPANIC</t>
    </r>
  </si>
  <si>
    <r>
      <t>.</t>
    </r>
    <r>
      <rPr>
        <b/>
        <sz val="10"/>
        <color theme="1"/>
        <rFont val="arial"/>
        <family val="2"/>
      </rPr>
      <t>FEMALE</t>
    </r>
  </si>
  <si>
    <r>
      <t>1</t>
    </r>
    <r>
      <rPr>
        <sz val="8"/>
        <rFont val="arial"/>
        <family val="2"/>
      </rPr>
      <t xml:space="preserve">In combination means in combination with one or more other races. The sum of the five race groups adds to more than the total population because individuals may report more than one race. </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</si>
  <si>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</si>
  <si>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Notes: The estimates are developed from a base that integrates the 2020 Census, Vintage 2020 estimates, and 2020 Demographic Analysis estimates. The estimates add births to, subtract deaths from, and add net migration to the April 1, 2020 estimates base. Race data in the Vintage 2024 estimates are based on the 1997 Office of Management and Budget Standards for Maintaining, Collecting, and Presenting Federal Data on Race and Ethnicity, and they do not currently reflect the results of the 2020 Census. Hispanic origin is considered an ethnicity, not a race. Hispanics may be of any race. For population estimates methodology statements, see https://www.census.gov/programs-surveys/popest/technical-documentation/methodology.html. Responses of “Some Other Race” from the decennial census are modified to be consistent with the race categories that appear in our input data. This contributes to differences between the population for specific race categories shown and those published from the 2020 Census. To learn more about the “Modified Race” process, go to https://www.census.gov/programs-surveys/popest/technical-documentation/research/modified-race-data.html. The Vintage 2024 estimates incorporate data from the 2010 Modified Race files released in April 2010. All geographic boundaries for the 2024 population estimates series are as of January 1, 2024.</t>
  </si>
  <si>
    <t>Suggested Citation:</t>
  </si>
  <si>
    <t>Annual Estimates of the Resident Population by Sex, Race, and Hispanic Origin for the United States: April 1, 2020 to July 1, 2024 (NC-EST2024-SR11H)</t>
  </si>
  <si>
    <t>Source: U.S. Census Bureau, Population Division</t>
  </si>
  <si>
    <t>Release Date: June 2025</t>
  </si>
  <si>
    <t>out of total</t>
  </si>
  <si>
    <t>as percent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</si>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</sst>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vertAlign val="superscript"/>
      <sz val="10"/>
      <color theme="1"/>
      <name val="arial"/>
      <family val="2"/>
    </font>
    <font>
      <b/>
      <sz val="10"/>
      <color indexed="9"/>
      <name val="arial"/>
      <family val="2"/>
    </font>
    <font>
      <sz val="8"/>
      <name val="arial"/>
      <family val="2"/>
    </font>
    <font>
      <vertAlign val="superscript"/>
      <sz val="8"/>
      <name val="arial"/>
      <family val="2"/>
    </font>
    <font>
      <b/>
      <sz val="8"/>
      <color theme="1"/>
      <name val="arial"/>
      <family val="2"/>
    </font>
    <font>
      <sz val="11"/>
      <color theme="1"/>
      <name val="Calibri"/>
      <family val="2"/>
      <scheme val="minor"/>
    </font>
  </fonts>
  <fills count="5">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indexed="43"/>
        <bgColor indexed="64"/>
      </patternFill>
    </fill>
  </fills>
  <borders count="18">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indexed="64"/>
      </right>
      <top/>
      <bottom/>
      <diagonal/>
    </border>
    <border>
      <left/>
      <right style="thin">
        <color auto="1"/>
      </right>
      <top style="thin">
        <color indexed="64"/>
      </top>
      <bottom/>
      <diagonal/>
    </border>
  </borders>
  <cellStyleXfs count="2">
    <xf numFmtId="0" fontId="0" fillId="0" borderId="0"/>
    <xf numFmtId="9" fontId="10" fillId="0" borderId="0" applyFont="0" applyFill="0" applyBorder="0" applyAlignment="0" applyProtection="0"/>
  </cellStyleXfs>
  <cellXfs count="45">
    <xf numFmtId="0" fontId="0" fillId="0" borderId="0" xfId="0"/>
    <xf numFmtId="0" fontId="2" fillId="0" borderId="0" xfId="0" applyFont="1"/>
    <xf numFmtId="0" fontId="2" fillId="3" borderId="0" xfId="0" applyFont="1" applyFill="1"/>
    <xf numFmtId="0" fontId="4" fillId="0" borderId="9" xfId="0" applyFont="1" applyBorder="1" applyAlignment="1">
      <alignment horizontal="center" vertical="center" wrapText="1"/>
    </xf>
    <xf numFmtId="0" fontId="4" fillId="0" borderId="0" xfId="0" applyFont="1" applyAlignment="1">
      <alignment horizontal="center" vertical="center"/>
    </xf>
    <xf numFmtId="3" fontId="4" fillId="0" borderId="9" xfId="0" applyNumberFormat="1" applyFont="1" applyBorder="1" applyAlignment="1">
      <alignment horizontal="right"/>
    </xf>
    <xf numFmtId="0" fontId="1" fillId="0" borderId="15" xfId="0" applyFont="1" applyBorder="1" applyAlignment="1">
      <alignment horizontal="left" indent="1"/>
    </xf>
    <xf numFmtId="3" fontId="2" fillId="0" borderId="15" xfId="0" applyNumberFormat="1" applyFont="1" applyBorder="1" applyAlignment="1">
      <alignment horizontal="right"/>
    </xf>
    <xf numFmtId="0" fontId="1" fillId="0" borderId="15" xfId="0" applyFont="1" applyBorder="1" applyAlignment="1">
      <alignment horizontal="left" indent="2"/>
    </xf>
    <xf numFmtId="0" fontId="1" fillId="0" borderId="14" xfId="0" applyFont="1" applyBorder="1" applyAlignment="1">
      <alignment horizontal="left" indent="2"/>
    </xf>
    <xf numFmtId="3" fontId="2" fillId="0" borderId="14" xfId="0" applyNumberFormat="1" applyFont="1" applyBorder="1" applyAlignment="1">
      <alignment horizontal="right"/>
    </xf>
    <xf numFmtId="0" fontId="6" fillId="0" borderId="9" xfId="0" applyFont="1" applyBorder="1" applyAlignment="1">
      <alignment horizontal="left" indent="1"/>
    </xf>
    <xf numFmtId="0" fontId="1" fillId="0" borderId="15" xfId="0" applyFont="1" applyBorder="1" applyAlignment="1">
      <alignment horizontal="left" indent="3"/>
    </xf>
    <xf numFmtId="0" fontId="1" fillId="0" borderId="14" xfId="0" applyFont="1" applyBorder="1" applyAlignment="1">
      <alignment horizontal="left" indent="3"/>
    </xf>
    <xf numFmtId="0" fontId="6" fillId="0" borderId="9" xfId="0" applyFont="1" applyBorder="1" applyAlignment="1" applyProtection="1">
      <alignment horizontal="left" indent="1"/>
      <protection locked="0"/>
    </xf>
    <xf numFmtId="3" fontId="4" fillId="0" borderId="9" xfId="0" applyNumberFormat="1" applyFont="1" applyBorder="1" applyAlignment="1" applyProtection="1">
      <alignment horizontal="right"/>
      <protection locked="0"/>
    </xf>
    <xf numFmtId="0" fontId="2" fillId="0" borderId="16" xfId="0" applyFont="1" applyBorder="1"/>
    <xf numFmtId="0" fontId="4" fillId="0" borderId="9" xfId="0" applyFont="1" applyBorder="1" applyAlignment="1">
      <alignment vertical="center"/>
    </xf>
    <xf numFmtId="3" fontId="4" fillId="0" borderId="9" xfId="0" applyNumberFormat="1" applyFont="1" applyBorder="1" applyAlignment="1">
      <alignment horizontal="right" vertical="center"/>
    </xf>
    <xf numFmtId="0" fontId="6" fillId="0" borderId="9" xfId="0" applyFont="1" applyBorder="1" applyAlignment="1">
      <alignment horizontal="left" vertical="center"/>
    </xf>
    <xf numFmtId="0" fontId="2" fillId="0" borderId="0" xfId="0" applyFont="1" applyAlignment="1">
      <alignment horizontal="right" vertical="center"/>
    </xf>
    <xf numFmtId="0" fontId="9" fillId="4" borderId="7" xfId="0" applyFont="1" applyFill="1" applyBorder="1"/>
    <xf numFmtId="0" fontId="9" fillId="4" borderId="8" xfId="0" applyFont="1" applyFill="1" applyBorder="1"/>
    <xf numFmtId="0" fontId="9" fillId="4" borderId="12" xfId="0" applyFont="1" applyFill="1" applyBorder="1"/>
    <xf numFmtId="0" fontId="1" fillId="2" borderId="0" xfId="0" applyFont="1" applyFill="1" applyAlignment="1">
      <alignment horizontal="left" vertical="center"/>
    </xf>
    <xf numFmtId="0" fontId="3" fillId="2" borderId="9" xfId="0" applyFont="1" applyFill="1" applyBorder="1" applyAlignment="1">
      <alignment horizontal="left" vertical="center" wrapText="1"/>
    </xf>
    <xf numFmtId="0" fontId="2" fillId="0" borderId="9" xfId="0" applyFont="1" applyBorder="1" applyAlignment="1">
      <alignment horizontal="left" vertical="center" wrapText="1"/>
    </xf>
    <xf numFmtId="0" fontId="3" fillId="2" borderId="13" xfId="0" applyFont="1" applyFill="1" applyBorder="1" applyAlignment="1">
      <alignment horizontal="center" vertical="center" wrapText="1"/>
    </xf>
    <xf numFmtId="0" fontId="2" fillId="0" borderId="14" xfId="0" applyFont="1" applyBorder="1" applyAlignment="1">
      <alignment horizontal="center" vertical="center" wrapText="1"/>
    </xf>
    <xf numFmtId="0" fontId="4" fillId="3" borderId="13"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8" fillId="0" borderId="3" xfId="0" applyFont="1" applyBorder="1" applyAlignment="1">
      <alignment wrapText="1"/>
    </xf>
    <xf numFmtId="0" fontId="7" fillId="0" borderId="3" xfId="0" applyFont="1" applyBorder="1" applyAlignment="1">
      <alignment wrapText="1"/>
    </xf>
    <xf numFmtId="0" fontId="7" fillId="0" borderId="6" xfId="0" applyFont="1" applyBorder="1" applyAlignment="1">
      <alignment wrapText="1"/>
    </xf>
    <xf numFmtId="0" fontId="7" fillId="0" borderId="2" xfId="0" applyFont="1" applyBorder="1" applyAlignment="1">
      <alignment wrapText="1"/>
    </xf>
    <xf numFmtId="0" fontId="7" fillId="0" borderId="10" xfId="0" applyFont="1" applyBorder="1" applyAlignment="1">
      <alignment wrapText="1"/>
    </xf>
    <xf numFmtId="0" fontId="9" fillId="4" borderId="4" xfId="0" applyFont="1" applyFill="1" applyBorder="1"/>
    <xf numFmtId="0" fontId="9" fillId="4" borderId="1" xfId="0" applyFont="1" applyFill="1" applyBorder="1"/>
    <xf numFmtId="0" fontId="9" fillId="4" borderId="17" xfId="0" applyFont="1" applyFill="1" applyBorder="1"/>
    <xf numFmtId="0" fontId="9" fillId="4" borderId="5" xfId="0" applyFont="1" applyFill="1" applyBorder="1" applyAlignment="1">
      <alignment wrapText="1"/>
    </xf>
    <xf numFmtId="0" fontId="9" fillId="4" borderId="0" xfId="0" applyFont="1" applyFill="1"/>
    <xf numFmtId="0" fontId="9" fillId="4" borderId="11" xfId="0" applyFont="1" applyFill="1" applyBorder="1"/>
    <xf numFmtId="9" fontId="2" fillId="0" borderId="0" xfId="1" applyFont="1"/>
    <xf numFmtId="3" fontId="2" fillId="0" borderId="0" xfId="0"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138"/>
  <sheetViews>
    <sheetView tabSelected="1" workbookViewId="0">
      <pane ySplit="4" topLeftCell="A5" activePane="bottomLeft" state="frozen"/>
      <selection pane="bottomLeft" activeCell="E41" sqref="E41"/>
    </sheetView>
  </sheetViews>
  <sheetFormatPr baseColWidth="10" defaultColWidth="9.1640625" defaultRowHeight="13" x14ac:dyDescent="0.15"/>
  <cols>
    <col min="1" max="1" width="41.5" style="1" customWidth="1"/>
    <col min="2" max="11" width="26.6640625" style="1" customWidth="1"/>
    <col min="12" max="37" width="25.6640625" style="1" customWidth="1"/>
    <col min="38" max="16384" width="9.1640625" style="1"/>
  </cols>
  <sheetData>
    <row r="1" spans="1:9" ht="2.25" customHeight="1" x14ac:dyDescent="0.15">
      <c r="A1" s="24" t="s">
        <v>1</v>
      </c>
      <c r="B1" s="24"/>
      <c r="C1" s="24"/>
      <c r="D1" s="24"/>
      <c r="E1" s="24"/>
      <c r="F1" s="24"/>
      <c r="G1" s="24"/>
    </row>
    <row r="2" spans="1:9" ht="24" customHeight="1" x14ac:dyDescent="0.15">
      <c r="A2" s="25" t="s">
        <v>2</v>
      </c>
      <c r="B2" s="26"/>
      <c r="C2" s="26"/>
      <c r="D2" s="26"/>
      <c r="E2" s="26"/>
      <c r="F2" s="26"/>
      <c r="G2" s="26"/>
    </row>
    <row r="3" spans="1:9" s="2" customFormat="1" ht="24" customHeight="1" x14ac:dyDescent="0.15">
      <c r="A3" s="27" t="s">
        <v>3</v>
      </c>
      <c r="B3" s="29" t="s">
        <v>4</v>
      </c>
      <c r="C3" s="30" t="s">
        <v>5</v>
      </c>
      <c r="D3" s="31"/>
      <c r="E3" s="31"/>
      <c r="F3" s="31"/>
      <c r="G3" s="31"/>
    </row>
    <row r="4" spans="1:9" s="4" customFormat="1" ht="34" customHeight="1" x14ac:dyDescent="0.2">
      <c r="A4" s="28"/>
      <c r="B4" s="28"/>
      <c r="C4" s="3">
        <v>2024</v>
      </c>
      <c r="D4" s="4" t="s">
        <v>43</v>
      </c>
      <c r="E4" s="4" t="s">
        <v>44</v>
      </c>
    </row>
    <row r="5" spans="1:9" ht="34" customHeight="1" x14ac:dyDescent="0.15">
      <c r="A5" s="17" t="s">
        <v>0</v>
      </c>
      <c r="B5" s="18">
        <v>331515736</v>
      </c>
      <c r="C5" s="18">
        <v>340110988</v>
      </c>
      <c r="D5" s="44">
        <v>419960750</v>
      </c>
      <c r="E5" s="20"/>
      <c r="F5" s="20"/>
      <c r="G5" s="20"/>
      <c r="H5" s="20"/>
      <c r="I5" s="20"/>
    </row>
    <row r="6" spans="1:9" x14ac:dyDescent="0.15">
      <c r="A6" s="6" t="s">
        <v>6</v>
      </c>
      <c r="B6" s="7"/>
      <c r="C6" s="7"/>
    </row>
    <row r="7" spans="1:9" x14ac:dyDescent="0.15">
      <c r="A7" s="8" t="s">
        <v>7</v>
      </c>
      <c r="B7" s="7">
        <v>251762662</v>
      </c>
      <c r="C7" s="7">
        <v>254281598</v>
      </c>
    </row>
    <row r="8" spans="1:9" x14ac:dyDescent="0.15">
      <c r="A8" s="8" t="s">
        <v>8</v>
      </c>
      <c r="B8" s="7">
        <v>44892385</v>
      </c>
      <c r="C8" s="7">
        <v>46608846</v>
      </c>
    </row>
    <row r="9" spans="1:9" x14ac:dyDescent="0.15">
      <c r="A9" s="8" t="s">
        <v>9</v>
      </c>
      <c r="B9" s="7">
        <v>4291976</v>
      </c>
      <c r="C9" s="7">
        <v>4743298</v>
      </c>
    </row>
    <row r="10" spans="1:9" x14ac:dyDescent="0.15">
      <c r="A10" s="8" t="s">
        <v>10</v>
      </c>
      <c r="B10" s="7">
        <v>20190803</v>
      </c>
      <c r="C10" s="7">
        <v>22825008</v>
      </c>
    </row>
    <row r="11" spans="1:9" x14ac:dyDescent="0.15">
      <c r="A11" s="8" t="s">
        <v>11</v>
      </c>
      <c r="B11" s="7">
        <v>849489</v>
      </c>
      <c r="C11" s="7">
        <v>939712</v>
      </c>
    </row>
    <row r="12" spans="1:9" x14ac:dyDescent="0.15">
      <c r="A12" s="6" t="s">
        <v>12</v>
      </c>
      <c r="B12" s="7">
        <v>9528421</v>
      </c>
      <c r="C12" s="7">
        <v>10712526</v>
      </c>
    </row>
    <row r="13" spans="1:9" ht="15" x14ac:dyDescent="0.15">
      <c r="A13" s="6" t="s">
        <v>13</v>
      </c>
      <c r="B13" s="7"/>
      <c r="C13" s="7"/>
    </row>
    <row r="14" spans="1:9" x14ac:dyDescent="0.15">
      <c r="A14" s="8" t="s">
        <v>7</v>
      </c>
      <c r="B14" s="7">
        <v>260238160</v>
      </c>
      <c r="C14" s="7">
        <v>263852944</v>
      </c>
      <c r="D14" s="1">
        <f>C14/D5</f>
        <v>0.62828000950088791</v>
      </c>
      <c r="E14" s="43">
        <v>0.62828000950088791</v>
      </c>
    </row>
    <row r="15" spans="1:9" x14ac:dyDescent="0.15">
      <c r="A15" s="8" t="s">
        <v>8</v>
      </c>
      <c r="B15" s="7">
        <v>49266587</v>
      </c>
      <c r="C15" s="7">
        <v>51629710</v>
      </c>
      <c r="D15" s="1">
        <f>C15/D5</f>
        <v>0.12293936992921363</v>
      </c>
      <c r="E15" s="43">
        <v>0.12293936992921363</v>
      </c>
      <c r="G15" s="7">
        <v>263852944</v>
      </c>
    </row>
    <row r="16" spans="1:9" x14ac:dyDescent="0.15">
      <c r="A16" s="8" t="s">
        <v>9</v>
      </c>
      <c r="B16" s="7">
        <v>7093609</v>
      </c>
      <c r="C16" s="7">
        <v>7738052</v>
      </c>
      <c r="D16" s="1">
        <f>C16/D5</f>
        <v>1.8425655254687492E-2</v>
      </c>
      <c r="E16" s="43">
        <v>1.8425655254687492E-2</v>
      </c>
      <c r="G16" s="7">
        <v>51629710</v>
      </c>
    </row>
    <row r="17" spans="1:7" x14ac:dyDescent="0.15">
      <c r="A17" s="8" t="s">
        <v>10</v>
      </c>
      <c r="B17" s="7">
        <v>23705204</v>
      </c>
      <c r="C17" s="7">
        <v>26809708</v>
      </c>
      <c r="D17" s="1">
        <f>C17/C5</f>
        <v>7.8826350649982529E-2</v>
      </c>
      <c r="E17" s="43">
        <v>7.8826350649982529E-2</v>
      </c>
      <c r="G17" s="7">
        <v>7738052</v>
      </c>
    </row>
    <row r="18" spans="1:7" x14ac:dyDescent="0.15">
      <c r="A18" s="9" t="s">
        <v>11</v>
      </c>
      <c r="B18" s="10">
        <v>1680537</v>
      </c>
      <c r="C18" s="10">
        <v>1844183</v>
      </c>
      <c r="D18" s="1">
        <f>C18/D5</f>
        <v>4.3913222842849008E-3</v>
      </c>
      <c r="E18" s="43">
        <v>4.3913222842849008E-3</v>
      </c>
      <c r="G18" s="7">
        <v>26809708</v>
      </c>
    </row>
    <row r="19" spans="1:7" x14ac:dyDescent="0.15">
      <c r="C19" s="44"/>
      <c r="G19" s="10">
        <v>1844183</v>
      </c>
    </row>
    <row r="20" spans="1:7" x14ac:dyDescent="0.15">
      <c r="A20" s="11" t="s">
        <v>14</v>
      </c>
      <c r="B20" s="5">
        <v>269440575</v>
      </c>
      <c r="C20" s="5">
        <v>272024835</v>
      </c>
      <c r="G20" s="5">
        <v>68086153</v>
      </c>
    </row>
    <row r="21" spans="1:7" x14ac:dyDescent="0.15">
      <c r="A21" s="8" t="s">
        <v>15</v>
      </c>
      <c r="B21" s="7"/>
      <c r="C21" s="7"/>
      <c r="D21" s="1">
        <f>SUM(D14, D15, D16, D17, D18)</f>
        <v>0.85286270761905647</v>
      </c>
      <c r="F21" s="1" t="s">
        <v>45</v>
      </c>
      <c r="G21" s="44">
        <f>SUM(G15:G20)</f>
        <v>419960750</v>
      </c>
    </row>
    <row r="22" spans="1:7" x14ac:dyDescent="0.15">
      <c r="A22" s="12" t="s">
        <v>16</v>
      </c>
      <c r="B22" s="7">
        <v>197579168</v>
      </c>
      <c r="C22" s="7">
        <v>195433224</v>
      </c>
    </row>
    <row r="23" spans="1:7" x14ac:dyDescent="0.15">
      <c r="A23" s="12" t="s">
        <v>17</v>
      </c>
      <c r="B23" s="7">
        <v>41716008</v>
      </c>
      <c r="C23" s="7">
        <v>42951595</v>
      </c>
    </row>
    <row r="24" spans="1:7" x14ac:dyDescent="0.15">
      <c r="A24" s="12" t="s">
        <v>18</v>
      </c>
      <c r="B24" s="7">
        <v>2409713</v>
      </c>
      <c r="C24" s="7">
        <v>2442428</v>
      </c>
    </row>
    <row r="25" spans="1:7" x14ac:dyDescent="0.15">
      <c r="A25" s="12" t="s">
        <v>19</v>
      </c>
      <c r="B25" s="7">
        <v>19539797</v>
      </c>
      <c r="C25" s="7">
        <v>22080844</v>
      </c>
    </row>
    <row r="26" spans="1:7" x14ac:dyDescent="0.15">
      <c r="A26" s="12" t="s">
        <v>20</v>
      </c>
      <c r="B26" s="7">
        <v>617912</v>
      </c>
      <c r="C26" s="7">
        <v>674821</v>
      </c>
    </row>
    <row r="27" spans="1:7" x14ac:dyDescent="0.15">
      <c r="A27" s="8" t="s">
        <v>21</v>
      </c>
      <c r="B27" s="7">
        <v>7577977</v>
      </c>
      <c r="C27" s="7">
        <v>8441923</v>
      </c>
    </row>
    <row r="28" spans="1:7" ht="15" x14ac:dyDescent="0.15">
      <c r="A28" s="8" t="s">
        <v>22</v>
      </c>
      <c r="B28" s="7"/>
      <c r="C28" s="7"/>
    </row>
    <row r="29" spans="1:7" x14ac:dyDescent="0.15">
      <c r="A29" s="12" t="s">
        <v>16</v>
      </c>
      <c r="B29" s="7">
        <v>204315071</v>
      </c>
      <c r="C29" s="7">
        <v>202972539</v>
      </c>
    </row>
    <row r="30" spans="1:7" x14ac:dyDescent="0.15">
      <c r="A30" s="12" t="s">
        <v>17</v>
      </c>
      <c r="B30" s="7">
        <v>45162661</v>
      </c>
      <c r="C30" s="7">
        <v>46862633</v>
      </c>
    </row>
    <row r="31" spans="1:7" x14ac:dyDescent="0.15">
      <c r="A31" s="12" t="s">
        <v>18</v>
      </c>
      <c r="B31" s="7">
        <v>4407729</v>
      </c>
      <c r="C31" s="7">
        <v>4522805</v>
      </c>
    </row>
    <row r="32" spans="1:7" x14ac:dyDescent="0.15">
      <c r="A32" s="12" t="s">
        <v>19</v>
      </c>
      <c r="B32" s="7">
        <v>22518039</v>
      </c>
      <c r="C32" s="7">
        <v>25450189</v>
      </c>
    </row>
    <row r="33" spans="1:9" x14ac:dyDescent="0.15">
      <c r="A33" s="13" t="s">
        <v>20</v>
      </c>
      <c r="B33" s="10">
        <v>1271858</v>
      </c>
      <c r="C33" s="10">
        <v>1379262</v>
      </c>
    </row>
    <row r="34" spans="1:9" x14ac:dyDescent="0.15">
      <c r="A34" s="11" t="s">
        <v>23</v>
      </c>
      <c r="B34" s="5">
        <v>62075161</v>
      </c>
      <c r="C34" s="5">
        <v>68086153</v>
      </c>
      <c r="D34" s="1">
        <f>C34/D5</f>
        <v>0.16212503906615083</v>
      </c>
      <c r="E34" s="43">
        <v>0.16212503906615083</v>
      </c>
    </row>
    <row r="35" spans="1:9" x14ac:dyDescent="0.15">
      <c r="A35" s="8" t="s">
        <v>15</v>
      </c>
      <c r="B35" s="7"/>
      <c r="C35" s="7"/>
    </row>
    <row r="36" spans="1:9" x14ac:dyDescent="0.15">
      <c r="A36" s="12" t="s">
        <v>16</v>
      </c>
      <c r="B36" s="7">
        <v>54183494</v>
      </c>
      <c r="C36" s="7">
        <v>58848374</v>
      </c>
      <c r="D36" s="44"/>
    </row>
    <row r="37" spans="1:9" x14ac:dyDescent="0.15">
      <c r="A37" s="12" t="s">
        <v>17</v>
      </c>
      <c r="B37" s="7">
        <v>3176377</v>
      </c>
      <c r="C37" s="7">
        <v>3657251</v>
      </c>
    </row>
    <row r="38" spans="1:9" x14ac:dyDescent="0.15">
      <c r="A38" s="12" t="s">
        <v>18</v>
      </c>
      <c r="B38" s="7">
        <v>1882263</v>
      </c>
      <c r="C38" s="7">
        <v>2300870</v>
      </c>
    </row>
    <row r="39" spans="1:9" x14ac:dyDescent="0.15">
      <c r="A39" s="12" t="s">
        <v>19</v>
      </c>
      <c r="B39" s="7">
        <v>651006</v>
      </c>
      <c r="C39" s="7">
        <v>744164</v>
      </c>
    </row>
    <row r="40" spans="1:9" x14ac:dyDescent="0.15">
      <c r="A40" s="12" t="s">
        <v>20</v>
      </c>
      <c r="B40" s="7">
        <v>231577</v>
      </c>
      <c r="C40" s="7">
        <v>264891</v>
      </c>
    </row>
    <row r="41" spans="1:9" x14ac:dyDescent="0.15">
      <c r="A41" s="8" t="s">
        <v>21</v>
      </c>
      <c r="B41" s="7">
        <v>1950444</v>
      </c>
      <c r="C41" s="7">
        <v>2270603</v>
      </c>
      <c r="E41" s="7">
        <f>8441923+10712526</f>
        <v>19154449</v>
      </c>
    </row>
    <row r="42" spans="1:9" ht="15" x14ac:dyDescent="0.15">
      <c r="A42" s="8" t="s">
        <v>22</v>
      </c>
      <c r="B42" s="7"/>
      <c r="C42" s="7"/>
    </row>
    <row r="43" spans="1:9" x14ac:dyDescent="0.15">
      <c r="A43" s="12" t="s">
        <v>16</v>
      </c>
      <c r="B43" s="7">
        <v>55923089</v>
      </c>
      <c r="C43" s="7">
        <v>60880405</v>
      </c>
    </row>
    <row r="44" spans="1:9" x14ac:dyDescent="0.15">
      <c r="A44" s="12" t="s">
        <v>17</v>
      </c>
      <c r="B44" s="7">
        <v>4103926</v>
      </c>
      <c r="C44" s="7">
        <v>4767077</v>
      </c>
    </row>
    <row r="45" spans="1:9" x14ac:dyDescent="0.15">
      <c r="A45" s="12" t="s">
        <v>18</v>
      </c>
      <c r="B45" s="7">
        <v>2685880</v>
      </c>
      <c r="C45" s="7">
        <v>3215247</v>
      </c>
    </row>
    <row r="46" spans="1:9" x14ac:dyDescent="0.15">
      <c r="A46" s="12" t="s">
        <v>19</v>
      </c>
      <c r="B46" s="7">
        <v>1187165</v>
      </c>
      <c r="C46" s="7">
        <v>1359519</v>
      </c>
    </row>
    <row r="47" spans="1:9" x14ac:dyDescent="0.15">
      <c r="A47" s="13" t="s">
        <v>20</v>
      </c>
      <c r="B47" s="10">
        <v>408679</v>
      </c>
      <c r="C47" s="10">
        <v>464921</v>
      </c>
    </row>
    <row r="48" spans="1:9" ht="34" customHeight="1" x14ac:dyDescent="0.15">
      <c r="A48" s="19" t="s">
        <v>24</v>
      </c>
      <c r="B48" s="18">
        <v>164221426</v>
      </c>
      <c r="C48" s="18">
        <v>168337882</v>
      </c>
      <c r="D48" s="20"/>
      <c r="E48" s="20"/>
      <c r="F48" s="20"/>
      <c r="G48" s="20"/>
      <c r="H48" s="20"/>
      <c r="I48" s="20"/>
    </row>
    <row r="49" spans="1:3" x14ac:dyDescent="0.15">
      <c r="A49" s="6" t="s">
        <v>15</v>
      </c>
      <c r="B49" s="7"/>
      <c r="C49" s="7"/>
    </row>
    <row r="50" spans="1:3" x14ac:dyDescent="0.15">
      <c r="A50" s="8" t="s">
        <v>16</v>
      </c>
      <c r="B50" s="7">
        <v>125575177</v>
      </c>
      <c r="C50" s="7">
        <v>126726746</v>
      </c>
    </row>
    <row r="51" spans="1:3" x14ac:dyDescent="0.15">
      <c r="A51" s="8" t="s">
        <v>17</v>
      </c>
      <c r="B51" s="7">
        <v>21598641</v>
      </c>
      <c r="C51" s="7">
        <v>22416192</v>
      </c>
    </row>
    <row r="52" spans="1:3" x14ac:dyDescent="0.15">
      <c r="A52" s="8" t="s">
        <v>18</v>
      </c>
      <c r="B52" s="7">
        <v>2170398</v>
      </c>
      <c r="C52" s="7">
        <v>2403327</v>
      </c>
    </row>
    <row r="53" spans="1:3" x14ac:dyDescent="0.15">
      <c r="A53" s="8" t="s">
        <v>19</v>
      </c>
      <c r="B53" s="7">
        <v>9712825</v>
      </c>
      <c r="C53" s="7">
        <v>10982216</v>
      </c>
    </row>
    <row r="54" spans="1:3" x14ac:dyDescent="0.15">
      <c r="A54" s="8" t="s">
        <v>20</v>
      </c>
      <c r="B54" s="7">
        <v>432275</v>
      </c>
      <c r="C54" s="7">
        <v>476477</v>
      </c>
    </row>
    <row r="55" spans="1:3" x14ac:dyDescent="0.15">
      <c r="A55" s="6" t="s">
        <v>21</v>
      </c>
      <c r="B55" s="7">
        <v>4732110</v>
      </c>
      <c r="C55" s="7">
        <v>5332924</v>
      </c>
    </row>
    <row r="56" spans="1:3" ht="15" x14ac:dyDescent="0.15">
      <c r="A56" s="6" t="s">
        <v>22</v>
      </c>
      <c r="B56" s="7"/>
      <c r="C56" s="7"/>
    </row>
    <row r="57" spans="1:3" x14ac:dyDescent="0.15">
      <c r="A57" s="8" t="s">
        <v>16</v>
      </c>
      <c r="B57" s="7">
        <v>129795709</v>
      </c>
      <c r="C57" s="7">
        <v>131503565</v>
      </c>
    </row>
    <row r="58" spans="1:3" x14ac:dyDescent="0.15">
      <c r="A58" s="8" t="s">
        <v>17</v>
      </c>
      <c r="B58" s="7">
        <v>23747894</v>
      </c>
      <c r="C58" s="7">
        <v>24893696</v>
      </c>
    </row>
    <row r="59" spans="1:3" x14ac:dyDescent="0.15">
      <c r="A59" s="8" t="s">
        <v>18</v>
      </c>
      <c r="B59" s="7">
        <v>3543055</v>
      </c>
      <c r="C59" s="7">
        <v>3873770</v>
      </c>
    </row>
    <row r="60" spans="1:3" x14ac:dyDescent="0.15">
      <c r="A60" s="8" t="s">
        <v>19</v>
      </c>
      <c r="B60" s="7">
        <v>11475911</v>
      </c>
      <c r="C60" s="7">
        <v>12984126</v>
      </c>
    </row>
    <row r="61" spans="1:3" x14ac:dyDescent="0.15">
      <c r="A61" s="9" t="s">
        <v>20</v>
      </c>
      <c r="B61" s="10">
        <v>846730</v>
      </c>
      <c r="C61" s="10">
        <v>928172</v>
      </c>
    </row>
    <row r="62" spans="1:3" x14ac:dyDescent="0.15">
      <c r="A62" s="11" t="s">
        <v>25</v>
      </c>
      <c r="B62" s="5">
        <v>132773596</v>
      </c>
      <c r="C62" s="5">
        <v>133881155</v>
      </c>
    </row>
    <row r="63" spans="1:3" x14ac:dyDescent="0.15">
      <c r="A63" s="8" t="s">
        <v>26</v>
      </c>
      <c r="B63" s="7"/>
      <c r="C63" s="7"/>
    </row>
    <row r="64" spans="1:3" x14ac:dyDescent="0.15">
      <c r="A64" s="12" t="s">
        <v>27</v>
      </c>
      <c r="B64" s="7">
        <v>98099108</v>
      </c>
      <c r="C64" s="7">
        <v>96929366</v>
      </c>
    </row>
    <row r="65" spans="1:3" x14ac:dyDescent="0.15">
      <c r="A65" s="12" t="s">
        <v>28</v>
      </c>
      <c r="B65" s="7">
        <v>20031062</v>
      </c>
      <c r="C65" s="7">
        <v>20604933</v>
      </c>
    </row>
    <row r="66" spans="1:3" x14ac:dyDescent="0.15">
      <c r="A66" s="12" t="s">
        <v>29</v>
      </c>
      <c r="B66" s="7">
        <v>1190391</v>
      </c>
      <c r="C66" s="7">
        <v>1203790</v>
      </c>
    </row>
    <row r="67" spans="1:3" x14ac:dyDescent="0.15">
      <c r="A67" s="12" t="s">
        <v>30</v>
      </c>
      <c r="B67" s="7">
        <v>9386338</v>
      </c>
      <c r="C67" s="7">
        <v>10609401</v>
      </c>
    </row>
    <row r="68" spans="1:3" x14ac:dyDescent="0.15">
      <c r="A68" s="12" t="s">
        <v>31</v>
      </c>
      <c r="B68" s="7">
        <v>312406</v>
      </c>
      <c r="C68" s="7">
        <v>340511</v>
      </c>
    </row>
    <row r="69" spans="1:3" x14ac:dyDescent="0.15">
      <c r="A69" s="8" t="s">
        <v>32</v>
      </c>
      <c r="B69" s="7">
        <v>3754291</v>
      </c>
      <c r="C69" s="7">
        <v>4193154</v>
      </c>
    </row>
    <row r="70" spans="1:3" ht="15" x14ac:dyDescent="0.15">
      <c r="A70" s="8" t="s">
        <v>33</v>
      </c>
      <c r="B70" s="7"/>
      <c r="C70" s="7"/>
    </row>
    <row r="71" spans="1:3" x14ac:dyDescent="0.15">
      <c r="A71" s="12" t="s">
        <v>27</v>
      </c>
      <c r="B71" s="7">
        <v>101446046</v>
      </c>
      <c r="C71" s="7">
        <v>100684605</v>
      </c>
    </row>
    <row r="72" spans="1:3" x14ac:dyDescent="0.15">
      <c r="A72" s="12" t="s">
        <v>28</v>
      </c>
      <c r="B72" s="7">
        <v>21719546</v>
      </c>
      <c r="C72" s="7">
        <v>22529689</v>
      </c>
    </row>
    <row r="73" spans="1:3" x14ac:dyDescent="0.15">
      <c r="A73" s="12" t="s">
        <v>29</v>
      </c>
      <c r="B73" s="7">
        <v>2158921</v>
      </c>
      <c r="C73" s="7">
        <v>2213894</v>
      </c>
    </row>
    <row r="74" spans="1:3" x14ac:dyDescent="0.15">
      <c r="A74" s="12" t="s">
        <v>30</v>
      </c>
      <c r="B74" s="7">
        <v>10880952</v>
      </c>
      <c r="C74" s="7">
        <v>12302705</v>
      </c>
    </row>
    <row r="75" spans="1:3" x14ac:dyDescent="0.15">
      <c r="A75" s="13" t="s">
        <v>31</v>
      </c>
      <c r="B75" s="10">
        <v>637790</v>
      </c>
      <c r="C75" s="10">
        <v>691494</v>
      </c>
    </row>
    <row r="76" spans="1:3" x14ac:dyDescent="0.15">
      <c r="A76" s="11" t="s">
        <v>34</v>
      </c>
      <c r="B76" s="5">
        <v>31447830</v>
      </c>
      <c r="C76" s="5">
        <v>34456727</v>
      </c>
    </row>
    <row r="77" spans="1:3" x14ac:dyDescent="0.15">
      <c r="A77" s="8" t="s">
        <v>26</v>
      </c>
      <c r="B77" s="7"/>
      <c r="C77" s="7"/>
    </row>
    <row r="78" spans="1:3" x14ac:dyDescent="0.15">
      <c r="A78" s="12" t="s">
        <v>27</v>
      </c>
      <c r="B78" s="7">
        <v>27476069</v>
      </c>
      <c r="C78" s="7">
        <v>29797380</v>
      </c>
    </row>
    <row r="79" spans="1:3" x14ac:dyDescent="0.15">
      <c r="A79" s="12" t="s">
        <v>28</v>
      </c>
      <c r="B79" s="7">
        <v>1567579</v>
      </c>
      <c r="C79" s="7">
        <v>1811259</v>
      </c>
    </row>
    <row r="80" spans="1:3" x14ac:dyDescent="0.15">
      <c r="A80" s="12" t="s">
        <v>29</v>
      </c>
      <c r="B80" s="7">
        <v>980007</v>
      </c>
      <c r="C80" s="7">
        <v>1199537</v>
      </c>
    </row>
    <row r="81" spans="1:9" x14ac:dyDescent="0.15">
      <c r="A81" s="12" t="s">
        <v>30</v>
      </c>
      <c r="B81" s="7">
        <v>326487</v>
      </c>
      <c r="C81" s="7">
        <v>372815</v>
      </c>
    </row>
    <row r="82" spans="1:9" x14ac:dyDescent="0.15">
      <c r="A82" s="12" t="s">
        <v>31</v>
      </c>
      <c r="B82" s="7">
        <v>119869</v>
      </c>
      <c r="C82" s="7">
        <v>135966</v>
      </c>
    </row>
    <row r="83" spans="1:9" x14ac:dyDescent="0.15">
      <c r="A83" s="8" t="s">
        <v>32</v>
      </c>
      <c r="B83" s="7">
        <v>977819</v>
      </c>
      <c r="C83" s="7">
        <v>1139770</v>
      </c>
    </row>
    <row r="84" spans="1:9" ht="15" x14ac:dyDescent="0.15">
      <c r="A84" s="8" t="s">
        <v>33</v>
      </c>
      <c r="B84" s="7"/>
      <c r="C84" s="7"/>
    </row>
    <row r="85" spans="1:9" x14ac:dyDescent="0.15">
      <c r="A85" s="12" t="s">
        <v>27</v>
      </c>
      <c r="B85" s="7">
        <v>28349663</v>
      </c>
      <c r="C85" s="7">
        <v>30818960</v>
      </c>
    </row>
    <row r="86" spans="1:9" x14ac:dyDescent="0.15">
      <c r="A86" s="12" t="s">
        <v>28</v>
      </c>
      <c r="B86" s="7">
        <v>2028348</v>
      </c>
      <c r="C86" s="7">
        <v>2364007</v>
      </c>
    </row>
    <row r="87" spans="1:9" x14ac:dyDescent="0.15">
      <c r="A87" s="12" t="s">
        <v>29</v>
      </c>
      <c r="B87" s="7">
        <v>1384134</v>
      </c>
      <c r="C87" s="7">
        <v>1659876</v>
      </c>
    </row>
    <row r="88" spans="1:9" x14ac:dyDescent="0.15">
      <c r="A88" s="12" t="s">
        <v>30</v>
      </c>
      <c r="B88" s="7">
        <v>594959</v>
      </c>
      <c r="C88" s="7">
        <v>681421</v>
      </c>
    </row>
    <row r="89" spans="1:9" x14ac:dyDescent="0.15">
      <c r="A89" s="13" t="s">
        <v>31</v>
      </c>
      <c r="B89" s="10">
        <v>208940</v>
      </c>
      <c r="C89" s="10">
        <v>236678</v>
      </c>
    </row>
    <row r="90" spans="1:9" ht="34" customHeight="1" x14ac:dyDescent="0.15">
      <c r="A90" s="19" t="s">
        <v>35</v>
      </c>
      <c r="B90" s="18">
        <v>167294310</v>
      </c>
      <c r="C90" s="18">
        <v>171773106</v>
      </c>
      <c r="D90" s="20"/>
      <c r="E90" s="20"/>
      <c r="F90" s="20"/>
      <c r="G90" s="20"/>
      <c r="H90" s="20"/>
      <c r="I90" s="20"/>
    </row>
    <row r="91" spans="1:9" x14ac:dyDescent="0.15">
      <c r="A91" s="6" t="s">
        <v>15</v>
      </c>
      <c r="B91" s="7"/>
      <c r="C91" s="7"/>
    </row>
    <row r="92" spans="1:9" x14ac:dyDescent="0.15">
      <c r="A92" s="8" t="s">
        <v>16</v>
      </c>
      <c r="B92" s="7">
        <v>126187485</v>
      </c>
      <c r="C92" s="7">
        <v>127554852</v>
      </c>
    </row>
    <row r="93" spans="1:9" x14ac:dyDescent="0.15">
      <c r="A93" s="8" t="s">
        <v>17</v>
      </c>
      <c r="B93" s="7">
        <v>23293744</v>
      </c>
      <c r="C93" s="7">
        <v>24192654</v>
      </c>
    </row>
    <row r="94" spans="1:9" x14ac:dyDescent="0.15">
      <c r="A94" s="8" t="s">
        <v>18</v>
      </c>
      <c r="B94" s="7">
        <v>2121578</v>
      </c>
      <c r="C94" s="7">
        <v>2339971</v>
      </c>
    </row>
    <row r="95" spans="1:9" x14ac:dyDescent="0.15">
      <c r="A95" s="8" t="s">
        <v>19</v>
      </c>
      <c r="B95" s="7">
        <v>10477978</v>
      </c>
      <c r="C95" s="7">
        <v>11842792</v>
      </c>
    </row>
    <row r="96" spans="1:9" x14ac:dyDescent="0.15">
      <c r="A96" s="8" t="s">
        <v>20</v>
      </c>
      <c r="B96" s="7">
        <v>417214</v>
      </c>
      <c r="C96" s="7">
        <v>463235</v>
      </c>
    </row>
    <row r="97" spans="1:3" x14ac:dyDescent="0.15">
      <c r="A97" s="6" t="s">
        <v>21</v>
      </c>
      <c r="B97" s="7">
        <v>4796311</v>
      </c>
      <c r="C97" s="7">
        <v>5379602</v>
      </c>
    </row>
    <row r="98" spans="1:3" ht="15" x14ac:dyDescent="0.15">
      <c r="A98" s="6" t="s">
        <v>22</v>
      </c>
      <c r="B98" s="7"/>
      <c r="C98" s="7"/>
    </row>
    <row r="99" spans="1:3" x14ac:dyDescent="0.15">
      <c r="A99" s="8" t="s">
        <v>16</v>
      </c>
      <c r="B99" s="7">
        <v>130442451</v>
      </c>
      <c r="C99" s="7">
        <v>132349379</v>
      </c>
    </row>
    <row r="100" spans="1:3" x14ac:dyDescent="0.15">
      <c r="A100" s="8" t="s">
        <v>17</v>
      </c>
      <c r="B100" s="7">
        <v>25518693</v>
      </c>
      <c r="C100" s="7">
        <v>26736014</v>
      </c>
    </row>
    <row r="101" spans="1:3" x14ac:dyDescent="0.15">
      <c r="A101" s="8" t="s">
        <v>18</v>
      </c>
      <c r="B101" s="7">
        <v>3550554</v>
      </c>
      <c r="C101" s="7">
        <v>3864282</v>
      </c>
    </row>
    <row r="102" spans="1:3" x14ac:dyDescent="0.15">
      <c r="A102" s="8" t="s">
        <v>19</v>
      </c>
      <c r="B102" s="7">
        <v>12229293</v>
      </c>
      <c r="C102" s="7">
        <v>13825582</v>
      </c>
    </row>
    <row r="103" spans="1:3" x14ac:dyDescent="0.15">
      <c r="A103" s="9" t="s">
        <v>20</v>
      </c>
      <c r="B103" s="10">
        <v>833807</v>
      </c>
      <c r="C103" s="10">
        <v>916011</v>
      </c>
    </row>
    <row r="104" spans="1:3" x14ac:dyDescent="0.15">
      <c r="A104" s="11" t="s">
        <v>25</v>
      </c>
      <c r="B104" s="5">
        <v>136666979</v>
      </c>
      <c r="C104" s="5">
        <v>138143680</v>
      </c>
    </row>
    <row r="105" spans="1:3" x14ac:dyDescent="0.15">
      <c r="A105" s="8" t="s">
        <v>26</v>
      </c>
      <c r="B105" s="7"/>
      <c r="C105" s="7"/>
    </row>
    <row r="106" spans="1:3" x14ac:dyDescent="0.15">
      <c r="A106" s="12" t="s">
        <v>27</v>
      </c>
      <c r="B106" s="7">
        <v>99480060</v>
      </c>
      <c r="C106" s="7">
        <v>98503858</v>
      </c>
    </row>
    <row r="107" spans="1:3" x14ac:dyDescent="0.15">
      <c r="A107" s="12" t="s">
        <v>28</v>
      </c>
      <c r="B107" s="7">
        <v>21684946</v>
      </c>
      <c r="C107" s="7">
        <v>22346662</v>
      </c>
    </row>
    <row r="108" spans="1:3" x14ac:dyDescent="0.15">
      <c r="A108" s="12" t="s">
        <v>29</v>
      </c>
      <c r="B108" s="7">
        <v>1219322</v>
      </c>
      <c r="C108" s="7">
        <v>1238638</v>
      </c>
    </row>
    <row r="109" spans="1:3" x14ac:dyDescent="0.15">
      <c r="A109" s="12" t="s">
        <v>30</v>
      </c>
      <c r="B109" s="7">
        <v>10153459</v>
      </c>
      <c r="C109" s="7">
        <v>11471443</v>
      </c>
    </row>
    <row r="110" spans="1:3" x14ac:dyDescent="0.15">
      <c r="A110" s="12" t="s">
        <v>31</v>
      </c>
      <c r="B110" s="7">
        <v>305506</v>
      </c>
      <c r="C110" s="7">
        <v>334310</v>
      </c>
    </row>
    <row r="111" spans="1:3" x14ac:dyDescent="0.15">
      <c r="A111" s="8" t="s">
        <v>32</v>
      </c>
      <c r="B111" s="7">
        <v>3823686</v>
      </c>
      <c r="C111" s="7">
        <v>4248769</v>
      </c>
    </row>
    <row r="112" spans="1:3" ht="15" x14ac:dyDescent="0.15">
      <c r="A112" s="8" t="s">
        <v>33</v>
      </c>
      <c r="B112" s="7"/>
      <c r="C112" s="7"/>
    </row>
    <row r="113" spans="1:3" x14ac:dyDescent="0.15">
      <c r="A113" s="12" t="s">
        <v>27</v>
      </c>
      <c r="B113" s="7">
        <v>102869025</v>
      </c>
      <c r="C113" s="7">
        <v>102287934</v>
      </c>
    </row>
    <row r="114" spans="1:3" x14ac:dyDescent="0.15">
      <c r="A114" s="12" t="s">
        <v>28</v>
      </c>
      <c r="B114" s="7">
        <v>23443115</v>
      </c>
      <c r="C114" s="7">
        <v>24332944</v>
      </c>
    </row>
    <row r="115" spans="1:3" x14ac:dyDescent="0.15">
      <c r="A115" s="12" t="s">
        <v>29</v>
      </c>
      <c r="B115" s="7">
        <v>2248808</v>
      </c>
      <c r="C115" s="7">
        <v>2308911</v>
      </c>
    </row>
    <row r="116" spans="1:3" x14ac:dyDescent="0.15">
      <c r="A116" s="12" t="s">
        <v>30</v>
      </c>
      <c r="B116" s="7">
        <v>11637087</v>
      </c>
      <c r="C116" s="7">
        <v>13147484</v>
      </c>
    </row>
    <row r="117" spans="1:3" x14ac:dyDescent="0.15">
      <c r="A117" s="13" t="s">
        <v>31</v>
      </c>
      <c r="B117" s="10">
        <v>634068</v>
      </c>
      <c r="C117" s="10">
        <v>687768</v>
      </c>
    </row>
    <row r="118" spans="1:3" x14ac:dyDescent="0.15">
      <c r="A118" s="14" t="s">
        <v>34</v>
      </c>
      <c r="B118" s="15">
        <v>30627331</v>
      </c>
      <c r="C118" s="15">
        <v>33629426</v>
      </c>
    </row>
    <row r="119" spans="1:3" x14ac:dyDescent="0.15">
      <c r="A119" s="8" t="s">
        <v>26</v>
      </c>
      <c r="B119" s="7"/>
      <c r="C119" s="7"/>
    </row>
    <row r="120" spans="1:3" x14ac:dyDescent="0.15">
      <c r="A120" s="12" t="s">
        <v>27</v>
      </c>
      <c r="B120" s="7">
        <v>26707425</v>
      </c>
      <c r="C120" s="7">
        <v>29050994</v>
      </c>
    </row>
    <row r="121" spans="1:3" x14ac:dyDescent="0.15">
      <c r="A121" s="12" t="s">
        <v>28</v>
      </c>
      <c r="B121" s="7">
        <v>1608798</v>
      </c>
      <c r="C121" s="7">
        <v>1845992</v>
      </c>
    </row>
    <row r="122" spans="1:3" x14ac:dyDescent="0.15">
      <c r="A122" s="12" t="s">
        <v>29</v>
      </c>
      <c r="B122" s="7">
        <v>902256</v>
      </c>
      <c r="C122" s="7">
        <v>1101333</v>
      </c>
    </row>
    <row r="123" spans="1:3" x14ac:dyDescent="0.15">
      <c r="A123" s="12" t="s">
        <v>30</v>
      </c>
      <c r="B123" s="7">
        <v>324519</v>
      </c>
      <c r="C123" s="7">
        <v>371349</v>
      </c>
    </row>
    <row r="124" spans="1:3" x14ac:dyDescent="0.15">
      <c r="A124" s="12" t="s">
        <v>31</v>
      </c>
      <c r="B124" s="7">
        <v>111708</v>
      </c>
      <c r="C124" s="7">
        <v>128925</v>
      </c>
    </row>
    <row r="125" spans="1:3" x14ac:dyDescent="0.15">
      <c r="A125" s="8" t="s">
        <v>32</v>
      </c>
      <c r="B125" s="7">
        <v>972625</v>
      </c>
      <c r="C125" s="7">
        <v>1130833</v>
      </c>
    </row>
    <row r="126" spans="1:3" ht="15" x14ac:dyDescent="0.15">
      <c r="A126" s="8" t="s">
        <v>33</v>
      </c>
      <c r="B126" s="7"/>
      <c r="C126" s="7"/>
    </row>
    <row r="127" spans="1:3" x14ac:dyDescent="0.15">
      <c r="A127" s="12" t="s">
        <v>27</v>
      </c>
      <c r="B127" s="7">
        <v>27573426</v>
      </c>
      <c r="C127" s="7">
        <v>30061445</v>
      </c>
    </row>
    <row r="128" spans="1:3" x14ac:dyDescent="0.15">
      <c r="A128" s="12" t="s">
        <v>28</v>
      </c>
      <c r="B128" s="7">
        <v>2075578</v>
      </c>
      <c r="C128" s="7">
        <v>2403070</v>
      </c>
    </row>
    <row r="129" spans="1:10" x14ac:dyDescent="0.15">
      <c r="A129" s="12" t="s">
        <v>29</v>
      </c>
      <c r="B129" s="7">
        <v>1301746</v>
      </c>
      <c r="C129" s="7">
        <v>1555371</v>
      </c>
    </row>
    <row r="130" spans="1:10" x14ac:dyDescent="0.15">
      <c r="A130" s="12" t="s">
        <v>30</v>
      </c>
      <c r="B130" s="7">
        <v>592206</v>
      </c>
      <c r="C130" s="7">
        <v>678098</v>
      </c>
    </row>
    <row r="131" spans="1:10" x14ac:dyDescent="0.15">
      <c r="A131" s="13" t="s">
        <v>31</v>
      </c>
      <c r="B131" s="10">
        <v>199739</v>
      </c>
      <c r="C131" s="10">
        <v>228243</v>
      </c>
    </row>
    <row r="132" spans="1:10" ht="26" customHeight="1" x14ac:dyDescent="0.15">
      <c r="A132" s="32" t="s">
        <v>36</v>
      </c>
      <c r="B132" s="33"/>
      <c r="C132" s="33"/>
      <c r="D132" s="33"/>
      <c r="E132" s="33"/>
      <c r="F132" s="33"/>
      <c r="G132" s="33"/>
      <c r="J132" s="16"/>
    </row>
    <row r="133" spans="1:10" ht="37.5" customHeight="1" x14ac:dyDescent="0.15">
      <c r="A133" s="33" t="s">
        <v>37</v>
      </c>
      <c r="B133" s="33"/>
      <c r="C133" s="33"/>
      <c r="D133" s="33"/>
      <c r="E133" s="33"/>
      <c r="F133" s="33"/>
      <c r="G133" s="33"/>
    </row>
    <row r="134" spans="1:10" ht="69.5" customHeight="1" x14ac:dyDescent="0.15">
      <c r="A134" s="34" t="s">
        <v>38</v>
      </c>
      <c r="B134" s="35"/>
      <c r="C134" s="35"/>
      <c r="D134" s="35"/>
      <c r="E134" s="35"/>
      <c r="F134" s="35"/>
      <c r="G134" s="36"/>
    </row>
    <row r="135" spans="1:10" ht="15" customHeight="1" x14ac:dyDescent="0.15">
      <c r="A135" s="37" t="s">
        <v>39</v>
      </c>
      <c r="B135" s="38"/>
      <c r="C135" s="38"/>
      <c r="D135" s="38"/>
      <c r="E135" s="38"/>
      <c r="F135" s="38"/>
      <c r="G135" s="39"/>
    </row>
    <row r="136" spans="1:10" ht="15" customHeight="1" x14ac:dyDescent="0.15">
      <c r="A136" s="40" t="s">
        <v>40</v>
      </c>
      <c r="B136" s="41"/>
      <c r="C136" s="41"/>
      <c r="D136" s="41"/>
      <c r="E136" s="41"/>
      <c r="F136" s="41"/>
      <c r="G136" s="42"/>
    </row>
    <row r="137" spans="1:10" ht="15" customHeight="1" x14ac:dyDescent="0.15">
      <c r="A137" s="40" t="s">
        <v>41</v>
      </c>
      <c r="B137" s="41"/>
      <c r="C137" s="41"/>
      <c r="D137" s="41"/>
      <c r="E137" s="41"/>
      <c r="F137" s="41"/>
      <c r="G137" s="42"/>
    </row>
    <row r="138" spans="1:10" ht="15" customHeight="1" x14ac:dyDescent="0.15">
      <c r="A138" s="21" t="s">
        <v>42</v>
      </c>
      <c r="B138" s="22"/>
      <c r="C138" s="22"/>
      <c r="D138" s="22"/>
      <c r="E138" s="22"/>
      <c r="F138" s="22"/>
      <c r="G138" s="23"/>
    </row>
  </sheetData>
  <mergeCells count="12">
    <mergeCell ref="A138:G138"/>
    <mergeCell ref="A1:G1"/>
    <mergeCell ref="A2:G2"/>
    <mergeCell ref="A3:A4"/>
    <mergeCell ref="B3:B4"/>
    <mergeCell ref="C3:G3"/>
    <mergeCell ref="A132:G132"/>
    <mergeCell ref="A133:G133"/>
    <mergeCell ref="A134:G134"/>
    <mergeCell ref="A135:G135"/>
    <mergeCell ref="A136:G136"/>
    <mergeCell ref="A137:G137"/>
  </mergeCells>
  <pageMargins left="0.25" right="0" top="0.75" bottom="1" header="0.5" footer="0.5"/>
  <pageSetup fitToWidth="2" fitToHeight="6" orientation="landscape" r:id="rId1"/>
  <headerFooter alignWithMargins="0">
    <oddHeader>&amp;L&amp;"Arial,Bold"Annual Estimates of the Resident Population by Sex, Race, and Hispanic Origin for the United States: April 1, 2020 to July 1, 2024</oddHeader>
    <oddFooter>&amp;CPage &amp;P</oddFooter>
  </headerFooter>
  <rowBreaks count="1" manualBreakCount="1">
    <brk id="133"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NC-EST2024-SR11H</vt:lpstr>
      <vt:lpstr>'NC-EST2024-SR11H'!Print_Area</vt:lpstr>
      <vt:lpstr>'NC-EST2024-SR11H'!Print_Titles</vt:lpstr>
      <vt:lpstr>sc_est2024_sr11h_0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Kristina Mensik</cp:lastModifiedBy>
  <dcterms:created xsi:type="dcterms:W3CDTF">2025-05-28T18:24:06Z</dcterms:created>
  <dcterms:modified xsi:type="dcterms:W3CDTF">2026-09-15T21:05:36Z</dcterms:modified>
</cp:coreProperties>
</file>