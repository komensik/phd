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amensik/Documents/Duke/Fall '24/902 Legislators Pre-Ananlysis Plan/Prelim Folder/"/>
    </mc:Choice>
  </mc:AlternateContent>
  <xr:revisionPtr revIDLastSave="0" documentId="8_{EDA12E45-7681-EF4B-B259-94801D0ED2C2}" xr6:coauthVersionLast="47" xr6:coauthVersionMax="47" xr10:uidLastSave="{00000000-0000-0000-0000-000000000000}"/>
  <bookViews>
    <workbookView xWindow="5560" yWindow="1700" windowWidth="27640" windowHeight="16940" xr2:uid="{F47EC2DA-FAC3-FC4F-B3E9-7A5A7D9B81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E12" i="1"/>
  <c r="D12" i="1"/>
  <c r="C12" i="1"/>
  <c r="D6" i="1"/>
  <c r="E6" i="1"/>
  <c r="F6" i="1"/>
  <c r="C6" i="1"/>
</calcChain>
</file>

<file path=xl/sharedStrings.xml><?xml version="1.0" encoding="utf-8"?>
<sst xmlns="http://schemas.openxmlformats.org/spreadsheetml/2006/main" count="17" uniqueCount="12">
  <si>
    <t>Incarcerated Parents</t>
  </si>
  <si>
    <t xml:space="preserve"> Exonerated/Wrongfully Convicted</t>
  </si>
  <si>
    <t xml:space="preserve"> 
  Sex offenders</t>
  </si>
  <si>
    <t xml:space="preserve"> 
  Formerly Incarcerated/Ex-Felons</t>
  </si>
  <si>
    <t>Experience</t>
  </si>
  <si>
    <t>Incarcerated</t>
  </si>
  <si>
    <t>Themselves</t>
  </si>
  <si>
    <t xml:space="preserve">Know Well </t>
  </si>
  <si>
    <t>Both</t>
  </si>
  <si>
    <t>Neither</t>
  </si>
  <si>
    <t xml:space="preserve">Victim Violence </t>
  </si>
  <si>
    <t>Total Impacted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</si>
</sst>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46892-3425-704C-9695-43E9725EA7F2}">
  <dimension ref="A1:F12"/>
  <sheetViews>
    <sheetView tabSelected="1" workbookViewId="0">
      <selection activeCell="E27" sqref="E27"/>
    </sheetView>
  </sheetViews>
  <sheetFormatPr baseColWidth="10" defaultRowHeight="16" x14ac:dyDescent="0.2"/>
  <cols>
    <col min="1" max="1" width="14.6640625" customWidth="1"/>
    <col min="2" max="2" width="14.1640625" customWidth="1"/>
    <col min="3" max="3" width="19.83203125" customWidth="1"/>
    <col min="4" max="4" width="28.5" customWidth="1"/>
    <col min="5" max="5" width="18.83203125" customWidth="1"/>
    <col min="6" max="6" width="28.33203125" customWidth="1"/>
  </cols>
  <sheetData>
    <row r="1" spans="1:6" s="1" customFormat="1" x14ac:dyDescent="0.2">
      <c r="A1" s="1" t="s">
        <v>4</v>
      </c>
      <c r="C1" s="1" t="s">
        <v>0</v>
      </c>
      <c r="D1" s="2" t="s">
        <v>1</v>
      </c>
      <c r="E1" s="2" t="s">
        <v>2</v>
      </c>
      <c r="F1" s="2" t="s">
        <v>3</v>
      </c>
    </row>
    <row r="2" spans="1:6" x14ac:dyDescent="0.2">
      <c r="A2" t="s">
        <v>5</v>
      </c>
      <c r="B2" t="s">
        <v>6</v>
      </c>
      <c r="C2">
        <v>24</v>
      </c>
      <c r="D2">
        <v>23</v>
      </c>
      <c r="E2">
        <v>29</v>
      </c>
      <c r="F2">
        <v>29</v>
      </c>
    </row>
    <row r="3" spans="1:6" x14ac:dyDescent="0.2">
      <c r="B3" t="s">
        <v>7</v>
      </c>
      <c r="C3">
        <v>205</v>
      </c>
      <c r="D3">
        <v>208</v>
      </c>
      <c r="E3">
        <v>179</v>
      </c>
      <c r="F3">
        <v>179</v>
      </c>
    </row>
    <row r="4" spans="1:6" x14ac:dyDescent="0.2">
      <c r="B4" t="s">
        <v>8</v>
      </c>
      <c r="C4">
        <v>31</v>
      </c>
      <c r="D4">
        <v>30</v>
      </c>
      <c r="E4">
        <v>36</v>
      </c>
      <c r="F4">
        <v>36</v>
      </c>
    </row>
    <row r="5" spans="1:6" x14ac:dyDescent="0.2">
      <c r="B5" t="s">
        <v>9</v>
      </c>
      <c r="C5">
        <v>500</v>
      </c>
      <c r="D5">
        <v>502</v>
      </c>
      <c r="E5">
        <v>486</v>
      </c>
      <c r="F5">
        <v>486</v>
      </c>
    </row>
    <row r="6" spans="1:6" x14ac:dyDescent="0.2">
      <c r="B6" t="s">
        <v>11</v>
      </c>
      <c r="C6">
        <f>24+205+31</f>
        <v>260</v>
      </c>
      <c r="D6">
        <f>23+208+30</f>
        <v>261</v>
      </c>
      <c r="E6">
        <f>29+179+36</f>
        <v>244</v>
      </c>
      <c r="F6">
        <f>29+179+36</f>
        <v>244</v>
      </c>
    </row>
    <row r="8" spans="1:6" x14ac:dyDescent="0.2">
      <c r="A8" t="s">
        <v>10</v>
      </c>
      <c r="B8" t="s">
        <v>6</v>
      </c>
      <c r="C8">
        <v>54</v>
      </c>
      <c r="D8">
        <v>55</v>
      </c>
      <c r="E8">
        <v>56</v>
      </c>
      <c r="F8">
        <v>56</v>
      </c>
    </row>
    <row r="9" spans="1:6" x14ac:dyDescent="0.2">
      <c r="B9" t="s">
        <v>7</v>
      </c>
      <c r="C9">
        <v>131</v>
      </c>
      <c r="D9">
        <v>132</v>
      </c>
      <c r="E9">
        <v>124</v>
      </c>
      <c r="F9">
        <v>124</v>
      </c>
    </row>
    <row r="10" spans="1:6" x14ac:dyDescent="0.2">
      <c r="B10" t="s">
        <v>8</v>
      </c>
      <c r="C10">
        <v>41</v>
      </c>
      <c r="D10">
        <v>40</v>
      </c>
      <c r="E10">
        <v>36</v>
      </c>
      <c r="F10">
        <v>36</v>
      </c>
    </row>
    <row r="11" spans="1:6" x14ac:dyDescent="0.2">
      <c r="B11" t="s">
        <v>9</v>
      </c>
      <c r="C11">
        <v>532</v>
      </c>
      <c r="D11">
        <v>534</v>
      </c>
      <c r="E11">
        <v>509</v>
      </c>
      <c r="F11">
        <v>509</v>
      </c>
    </row>
    <row r="12" spans="1:6" x14ac:dyDescent="0.2">
      <c r="B12" t="s">
        <v>11</v>
      </c>
      <c r="C12">
        <f>54+131+41</f>
        <v>226</v>
      </c>
      <c r="D12">
        <f>55+132+40</f>
        <v>227</v>
      </c>
      <c r="E12">
        <f>56+124+36</f>
        <v>216</v>
      </c>
      <c r="F12">
        <f>56+124+36</f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Mensik</dc:creator>
  <cp:lastModifiedBy>Kristina Mensik</cp:lastModifiedBy>
  <dcterms:created xsi:type="dcterms:W3CDTF">2025-01-06T21:18:05Z</dcterms:created>
  <dcterms:modified xsi:type="dcterms:W3CDTF">2025-01-11T22:12:54Z</dcterms:modified>
</cp:coreProperties>
</file>