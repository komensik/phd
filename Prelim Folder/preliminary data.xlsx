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Documents/Duke/Fall '24/902 Legislators Pre-Ananlysis Plan/Prelim Folder/"/>
    </mc:Choice>
  </mc:AlternateContent>
  <xr:revisionPtr revIDLastSave="0" documentId="13_ncr:1_{C6384A41-0E22-1842-BC10-9BC809A73A09}" xr6:coauthVersionLast="47" xr6:coauthVersionMax="47" xr10:uidLastSave="{00000000-0000-0000-0000-000000000000}"/>
  <bookViews>
    <workbookView xWindow="24400" yWindow="700" windowWidth="32400" windowHeight="25960" xr2:uid="{EB1A8585-E062-6741-BE03-E7753A9966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1" l="1"/>
  <c r="M46" i="1"/>
  <c r="M45" i="1"/>
  <c r="M44" i="1"/>
  <c r="M43" i="1"/>
  <c r="F47" i="1"/>
  <c r="F46" i="1"/>
  <c r="F45" i="1"/>
  <c r="F44" i="1"/>
  <c r="F43" i="1"/>
</calcChain>
</file>

<file path=xl/sharedStrings.xml><?xml version="1.0" encoding="utf-8"?>
<sst xmlns="http://schemas.openxmlformats.org/spreadsheetml/2006/main" count="196" uniqueCount="33">
  <si>
    <t>A</t>
  </si>
  <si>
    <t>Criminals</t>
  </si>
  <si>
    <t>Mean</t>
  </si>
  <si>
    <t>SD</t>
  </si>
  <si>
    <t>Var</t>
  </si>
  <si>
    <t>n</t>
  </si>
  <si>
    <t>all</t>
  </si>
  <si>
    <t>know inc</t>
  </si>
  <si>
    <t>been inc</t>
  </si>
  <si>
    <t>victim</t>
  </si>
  <si>
    <t>not imp</t>
  </si>
  <si>
    <t>Inc women</t>
  </si>
  <si>
    <t>B</t>
  </si>
  <si>
    <t>Inc Ppl/prisoners</t>
  </si>
  <si>
    <t>C</t>
  </si>
  <si>
    <t>sex offenders</t>
  </si>
  <si>
    <t>Group A - Criminals</t>
  </si>
  <si>
    <t>Group A - Inc Ppl/prisoners</t>
  </si>
  <si>
    <t>Group A - Inc women</t>
  </si>
  <si>
    <t>Group A - Exonerated</t>
  </si>
  <si>
    <t>Group A - Inc Parents</t>
  </si>
  <si>
    <t>Group B - Criminals</t>
  </si>
  <si>
    <t>Group B - Inc Ppl/prisoners</t>
  </si>
  <si>
    <t>Group B - Inc women</t>
  </si>
  <si>
    <t>Group C - Criminals</t>
  </si>
  <si>
    <t>Group C - Inc Ppl/prisoners</t>
  </si>
  <si>
    <t>Group C - Inc women</t>
  </si>
  <si>
    <t>Group C - Sex Offenders</t>
  </si>
  <si>
    <t>Group C - Formerly Inc/Ex Felon</t>
  </si>
  <si>
    <t>Criminals to Inc ppl/prisoners</t>
  </si>
  <si>
    <t>Criminals to inc women</t>
  </si>
  <si>
    <t>inc women</t>
  </si>
  <si>
    <t>Inc Ppl/prisoners to inc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</si>
</sst>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F919-FB8E-5B4B-BEE4-EBDBA0D45B8D}">
  <dimension ref="A1:T71"/>
  <sheetViews>
    <sheetView tabSelected="1" topLeftCell="A6" workbookViewId="0">
      <selection activeCell="S50" sqref="S50"/>
    </sheetView>
  </sheetViews>
  <sheetFormatPr baseColWidth="10" defaultRowHeight="16" x14ac:dyDescent="0.2"/>
  <sheetData>
    <row r="1" spans="1:20" x14ac:dyDescent="0.2">
      <c r="A1" s="1" t="s">
        <v>16</v>
      </c>
      <c r="B1" s="1"/>
      <c r="C1" s="1"/>
      <c r="D1" s="1"/>
      <c r="E1" s="1"/>
      <c r="F1" s="1"/>
      <c r="H1" s="1" t="s">
        <v>21</v>
      </c>
      <c r="I1" s="1"/>
      <c r="J1" s="1"/>
      <c r="K1" s="1"/>
      <c r="L1" s="1"/>
      <c r="M1" s="1"/>
      <c r="O1" s="1" t="s">
        <v>24</v>
      </c>
      <c r="P1" s="1"/>
      <c r="Q1" s="1"/>
      <c r="R1" s="1"/>
      <c r="S1" s="1"/>
      <c r="T1" s="1"/>
    </row>
    <row r="2" spans="1:20" x14ac:dyDescent="0.2">
      <c r="C2" t="s">
        <v>2</v>
      </c>
      <c r="D2" t="s">
        <v>3</v>
      </c>
      <c r="E2" t="s">
        <v>4</v>
      </c>
      <c r="F2" t="s">
        <v>5</v>
      </c>
      <c r="H2" t="s">
        <v>12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Q2" t="s">
        <v>2</v>
      </c>
      <c r="R2" t="s">
        <v>3</v>
      </c>
      <c r="S2" t="s">
        <v>4</v>
      </c>
      <c r="T2" t="s">
        <v>5</v>
      </c>
    </row>
    <row r="3" spans="1:20" x14ac:dyDescent="0.2">
      <c r="A3" t="s">
        <v>6</v>
      </c>
      <c r="C3">
        <v>33.81</v>
      </c>
      <c r="D3">
        <v>28.4</v>
      </c>
      <c r="E3">
        <v>806.73</v>
      </c>
      <c r="F3">
        <v>819</v>
      </c>
      <c r="H3" t="s">
        <v>6</v>
      </c>
      <c r="J3">
        <v>32.119999999999997</v>
      </c>
      <c r="K3">
        <v>26.94</v>
      </c>
      <c r="L3">
        <v>725.85</v>
      </c>
      <c r="M3">
        <v>814</v>
      </c>
      <c r="O3" t="s">
        <v>6</v>
      </c>
      <c r="Q3">
        <v>28.71</v>
      </c>
      <c r="R3">
        <v>26.63</v>
      </c>
      <c r="S3">
        <v>708.97</v>
      </c>
      <c r="T3">
        <v>739</v>
      </c>
    </row>
    <row r="4" spans="1:20" x14ac:dyDescent="0.2">
      <c r="A4" t="s">
        <v>7</v>
      </c>
      <c r="C4">
        <v>36.020000000000003</v>
      </c>
      <c r="D4">
        <v>29.78</v>
      </c>
      <c r="E4">
        <v>887.04</v>
      </c>
      <c r="F4">
        <v>241</v>
      </c>
      <c r="H4" t="s">
        <v>7</v>
      </c>
      <c r="J4">
        <v>33.799999999999997</v>
      </c>
      <c r="K4">
        <v>26.29</v>
      </c>
      <c r="L4">
        <v>691.15</v>
      </c>
      <c r="M4">
        <v>247</v>
      </c>
      <c r="O4" t="s">
        <v>7</v>
      </c>
      <c r="Q4">
        <v>33.69</v>
      </c>
      <c r="R4">
        <v>27.37</v>
      </c>
      <c r="S4">
        <v>749.24</v>
      </c>
      <c r="T4">
        <v>218</v>
      </c>
    </row>
    <row r="5" spans="1:20" x14ac:dyDescent="0.2">
      <c r="A5" t="s">
        <v>8</v>
      </c>
      <c r="C5">
        <v>44.91</v>
      </c>
      <c r="D5">
        <v>32.24</v>
      </c>
      <c r="E5">
        <v>1039.54</v>
      </c>
      <c r="F5">
        <v>55</v>
      </c>
      <c r="H5" t="s">
        <v>8</v>
      </c>
      <c r="J5">
        <v>40.98</v>
      </c>
      <c r="K5">
        <v>28.09</v>
      </c>
      <c r="L5">
        <v>789.22</v>
      </c>
      <c r="M5">
        <v>55</v>
      </c>
      <c r="O5" t="s">
        <v>8</v>
      </c>
      <c r="Q5">
        <v>35.380000000000003</v>
      </c>
      <c r="R5">
        <v>30.92</v>
      </c>
      <c r="S5">
        <v>956.05</v>
      </c>
      <c r="T5">
        <v>66</v>
      </c>
    </row>
    <row r="6" spans="1:20" x14ac:dyDescent="0.2">
      <c r="A6" t="s">
        <v>9</v>
      </c>
      <c r="C6">
        <v>41.63</v>
      </c>
      <c r="D6">
        <v>32.72</v>
      </c>
      <c r="E6">
        <v>1070.8</v>
      </c>
      <c r="F6">
        <v>98</v>
      </c>
      <c r="H6" t="s">
        <v>9</v>
      </c>
      <c r="J6">
        <v>34.43</v>
      </c>
      <c r="K6">
        <v>30.01</v>
      </c>
      <c r="L6">
        <v>900.55</v>
      </c>
      <c r="M6">
        <v>97</v>
      </c>
      <c r="O6" t="s">
        <v>9</v>
      </c>
      <c r="Q6">
        <v>33.81</v>
      </c>
      <c r="R6">
        <v>28.32</v>
      </c>
      <c r="S6">
        <v>802.05</v>
      </c>
      <c r="T6">
        <v>93</v>
      </c>
    </row>
    <row r="7" spans="1:20" x14ac:dyDescent="0.2">
      <c r="A7" t="s">
        <v>10</v>
      </c>
      <c r="C7">
        <v>31.1</v>
      </c>
      <c r="D7">
        <v>27.23</v>
      </c>
      <c r="E7">
        <v>741.41</v>
      </c>
      <c r="F7">
        <v>427</v>
      </c>
      <c r="H7" t="s">
        <v>10</v>
      </c>
      <c r="J7">
        <v>30.8</v>
      </c>
      <c r="K7">
        <v>26.9</v>
      </c>
      <c r="L7">
        <v>723.49</v>
      </c>
      <c r="M7">
        <v>425</v>
      </c>
      <c r="O7" t="s">
        <v>10</v>
      </c>
      <c r="Q7">
        <v>25.19</v>
      </c>
      <c r="R7">
        <v>24.7</v>
      </c>
      <c r="S7">
        <v>609.99</v>
      </c>
      <c r="T7">
        <v>403</v>
      </c>
    </row>
    <row r="8" spans="1:20" x14ac:dyDescent="0.2">
      <c r="A8" s="1" t="s">
        <v>17</v>
      </c>
      <c r="B8" s="1"/>
      <c r="C8" s="1"/>
      <c r="D8" s="1"/>
      <c r="E8" s="1"/>
      <c r="F8" s="1"/>
      <c r="H8" s="1" t="s">
        <v>22</v>
      </c>
      <c r="I8" s="1"/>
      <c r="J8" s="1"/>
      <c r="K8" s="1"/>
      <c r="L8" s="1"/>
      <c r="M8" s="1"/>
      <c r="O8" s="1" t="s">
        <v>25</v>
      </c>
      <c r="P8" s="1"/>
      <c r="Q8" s="1"/>
      <c r="R8" s="1"/>
      <c r="S8" s="1"/>
      <c r="T8" s="1"/>
    </row>
    <row r="9" spans="1:20" x14ac:dyDescent="0.2">
      <c r="C9" t="s">
        <v>2</v>
      </c>
      <c r="D9" t="s">
        <v>3</v>
      </c>
      <c r="E9" t="s">
        <v>4</v>
      </c>
      <c r="F9" t="s">
        <v>5</v>
      </c>
      <c r="J9" t="s">
        <v>2</v>
      </c>
      <c r="K9" t="s">
        <v>3</v>
      </c>
      <c r="L9" t="s">
        <v>4</v>
      </c>
      <c r="M9" t="s">
        <v>5</v>
      </c>
      <c r="Q9" t="s">
        <v>2</v>
      </c>
      <c r="R9" t="s">
        <v>3</v>
      </c>
      <c r="S9" t="s">
        <v>4</v>
      </c>
      <c r="T9" t="s">
        <v>5</v>
      </c>
    </row>
    <row r="10" spans="1:20" x14ac:dyDescent="0.2">
      <c r="A10" t="s">
        <v>6</v>
      </c>
      <c r="C10">
        <v>47.7</v>
      </c>
      <c r="D10">
        <v>28.21</v>
      </c>
      <c r="E10">
        <v>796.06</v>
      </c>
      <c r="F10">
        <v>813</v>
      </c>
      <c r="H10" t="s">
        <v>6</v>
      </c>
      <c r="J10">
        <v>47.16</v>
      </c>
      <c r="K10">
        <v>27.43</v>
      </c>
      <c r="L10">
        <v>752.36</v>
      </c>
      <c r="M10">
        <v>808</v>
      </c>
      <c r="O10" t="s">
        <v>6</v>
      </c>
      <c r="Q10">
        <v>43.95</v>
      </c>
      <c r="R10">
        <v>28.45</v>
      </c>
      <c r="S10">
        <v>809.49</v>
      </c>
      <c r="T10">
        <v>739</v>
      </c>
    </row>
    <row r="11" spans="1:20" x14ac:dyDescent="0.2">
      <c r="A11" t="s">
        <v>7</v>
      </c>
      <c r="C11">
        <v>50.63</v>
      </c>
      <c r="D11">
        <v>28.9</v>
      </c>
      <c r="E11">
        <v>835.17</v>
      </c>
      <c r="F11">
        <v>239</v>
      </c>
      <c r="H11" t="s">
        <v>7</v>
      </c>
      <c r="J11">
        <v>51.69</v>
      </c>
      <c r="K11">
        <v>24.38</v>
      </c>
      <c r="L11">
        <v>594.24</v>
      </c>
      <c r="M11">
        <v>244</v>
      </c>
      <c r="O11" t="s">
        <v>7</v>
      </c>
      <c r="Q11">
        <v>52.54</v>
      </c>
      <c r="R11">
        <v>28.89</v>
      </c>
      <c r="S11">
        <v>834.87</v>
      </c>
      <c r="T11">
        <v>218</v>
      </c>
    </row>
    <row r="12" spans="1:20" x14ac:dyDescent="0.2">
      <c r="A12" t="s">
        <v>8</v>
      </c>
      <c r="C12">
        <v>59.82</v>
      </c>
      <c r="D12">
        <v>28.13</v>
      </c>
      <c r="E12">
        <v>791.04</v>
      </c>
      <c r="F12">
        <v>56</v>
      </c>
      <c r="H12" t="s">
        <v>8</v>
      </c>
      <c r="J12">
        <v>54.16</v>
      </c>
      <c r="K12">
        <v>26.54</v>
      </c>
      <c r="L12">
        <v>704.25</v>
      </c>
      <c r="M12">
        <v>55</v>
      </c>
      <c r="O12" t="s">
        <v>8</v>
      </c>
      <c r="Q12">
        <v>53.48</v>
      </c>
      <c r="R12">
        <v>31.56</v>
      </c>
      <c r="S12">
        <v>996.31</v>
      </c>
      <c r="T12">
        <v>66</v>
      </c>
    </row>
    <row r="13" spans="1:20" x14ac:dyDescent="0.2">
      <c r="A13" t="s">
        <v>9</v>
      </c>
      <c r="C13">
        <v>54.74</v>
      </c>
      <c r="D13">
        <v>31.69</v>
      </c>
      <c r="E13">
        <v>1004.32</v>
      </c>
      <c r="F13">
        <v>97</v>
      </c>
      <c r="H13" t="s">
        <v>9</v>
      </c>
      <c r="J13">
        <v>50.02</v>
      </c>
      <c r="K13">
        <v>29.38</v>
      </c>
      <c r="L13">
        <v>863.47</v>
      </c>
      <c r="M13">
        <v>98</v>
      </c>
      <c r="O13" t="s">
        <v>9</v>
      </c>
      <c r="Q13">
        <v>48.99</v>
      </c>
      <c r="R13">
        <v>30.87</v>
      </c>
      <c r="S13">
        <v>952.76</v>
      </c>
      <c r="T13">
        <v>93</v>
      </c>
    </row>
    <row r="14" spans="1:20" x14ac:dyDescent="0.2">
      <c r="A14" t="s">
        <v>10</v>
      </c>
      <c r="C14">
        <v>45.18</v>
      </c>
      <c r="D14">
        <v>26.89</v>
      </c>
      <c r="E14">
        <v>722.85</v>
      </c>
      <c r="F14">
        <v>425</v>
      </c>
      <c r="H14" t="s">
        <v>10</v>
      </c>
      <c r="J14">
        <v>45.18</v>
      </c>
      <c r="K14">
        <v>28.57</v>
      </c>
      <c r="L14">
        <v>816.17</v>
      </c>
      <c r="M14">
        <v>422</v>
      </c>
      <c r="O14" t="s">
        <v>10</v>
      </c>
      <c r="Q14">
        <v>38.700000000000003</v>
      </c>
      <c r="R14">
        <v>26.57</v>
      </c>
      <c r="S14">
        <v>705.95</v>
      </c>
      <c r="T14">
        <v>403</v>
      </c>
    </row>
    <row r="15" spans="1:20" x14ac:dyDescent="0.2">
      <c r="A15" s="1" t="s">
        <v>18</v>
      </c>
      <c r="B15" s="1"/>
      <c r="C15" s="1"/>
      <c r="D15" s="1"/>
      <c r="E15" s="1"/>
      <c r="F15" s="1"/>
      <c r="H15" s="1" t="s">
        <v>23</v>
      </c>
      <c r="I15" s="1"/>
      <c r="J15" s="1"/>
      <c r="K15" s="1"/>
      <c r="L15" s="1"/>
      <c r="M15" s="1"/>
      <c r="O15" s="1" t="s">
        <v>26</v>
      </c>
      <c r="P15" s="1"/>
      <c r="Q15" s="1"/>
      <c r="R15" s="1"/>
      <c r="S15" s="1"/>
      <c r="T15" s="1"/>
    </row>
    <row r="16" spans="1:20" x14ac:dyDescent="0.2">
      <c r="C16" t="s">
        <v>2</v>
      </c>
      <c r="D16" t="s">
        <v>3</v>
      </c>
      <c r="E16" t="s">
        <v>4</v>
      </c>
      <c r="F16" t="s">
        <v>5</v>
      </c>
      <c r="H16" t="s">
        <v>0</v>
      </c>
      <c r="I16" t="s">
        <v>11</v>
      </c>
      <c r="J16" t="s">
        <v>2</v>
      </c>
      <c r="K16" t="s">
        <v>3</v>
      </c>
      <c r="L16" t="s">
        <v>4</v>
      </c>
      <c r="M16" t="s">
        <v>5</v>
      </c>
      <c r="Q16" t="s">
        <v>2</v>
      </c>
      <c r="R16" t="s">
        <v>3</v>
      </c>
      <c r="S16" t="s">
        <v>4</v>
      </c>
      <c r="T16" t="s">
        <v>5</v>
      </c>
    </row>
    <row r="17" spans="1:20" x14ac:dyDescent="0.2">
      <c r="A17" t="s">
        <v>6</v>
      </c>
      <c r="C17">
        <v>52.36</v>
      </c>
      <c r="D17">
        <v>27.12</v>
      </c>
      <c r="E17">
        <v>735.63</v>
      </c>
      <c r="F17">
        <v>813</v>
      </c>
      <c r="H17" t="s">
        <v>6</v>
      </c>
      <c r="J17">
        <v>53.54</v>
      </c>
      <c r="K17">
        <v>26.9</v>
      </c>
      <c r="L17">
        <v>723.83</v>
      </c>
      <c r="M17">
        <v>813</v>
      </c>
      <c r="O17" t="s">
        <v>6</v>
      </c>
      <c r="Q17">
        <v>51.9</v>
      </c>
      <c r="R17">
        <v>28.09</v>
      </c>
      <c r="S17">
        <v>788.84</v>
      </c>
      <c r="T17">
        <v>739</v>
      </c>
    </row>
    <row r="18" spans="1:20" x14ac:dyDescent="0.2">
      <c r="A18" t="s">
        <v>7</v>
      </c>
      <c r="C18">
        <v>57.42</v>
      </c>
      <c r="D18">
        <v>28.3</v>
      </c>
      <c r="E18">
        <v>800.83</v>
      </c>
      <c r="F18">
        <v>240</v>
      </c>
      <c r="H18" t="s">
        <v>7</v>
      </c>
      <c r="J18">
        <v>56.76</v>
      </c>
      <c r="K18">
        <v>24.56</v>
      </c>
      <c r="L18">
        <v>603.34</v>
      </c>
      <c r="M18">
        <v>245</v>
      </c>
      <c r="O18" t="s">
        <v>7</v>
      </c>
      <c r="Q18">
        <v>57.6</v>
      </c>
      <c r="R18">
        <v>228.13</v>
      </c>
      <c r="S18">
        <v>791.47</v>
      </c>
      <c r="T18">
        <v>218</v>
      </c>
    </row>
    <row r="19" spans="1:20" x14ac:dyDescent="0.2">
      <c r="A19" t="s">
        <v>8</v>
      </c>
      <c r="C19">
        <v>61.11</v>
      </c>
      <c r="D19">
        <v>27.6</v>
      </c>
      <c r="E19">
        <v>761.73</v>
      </c>
      <c r="F19">
        <v>54</v>
      </c>
      <c r="H19" t="s">
        <v>8</v>
      </c>
      <c r="J19">
        <v>59.04</v>
      </c>
      <c r="K19">
        <v>24.93</v>
      </c>
      <c r="L19">
        <v>621.70000000000005</v>
      </c>
      <c r="M19">
        <v>54</v>
      </c>
      <c r="O19" t="s">
        <v>8</v>
      </c>
      <c r="Q19">
        <v>60.56</v>
      </c>
      <c r="R19">
        <v>28.82</v>
      </c>
      <c r="S19">
        <v>830.46</v>
      </c>
      <c r="T19">
        <v>66</v>
      </c>
    </row>
    <row r="20" spans="1:20" x14ac:dyDescent="0.2">
      <c r="A20" t="s">
        <v>9</v>
      </c>
      <c r="C20">
        <v>60.93</v>
      </c>
      <c r="D20">
        <v>28.9</v>
      </c>
      <c r="E20">
        <v>835.22</v>
      </c>
      <c r="F20">
        <v>97</v>
      </c>
      <c r="H20" t="s">
        <v>9</v>
      </c>
      <c r="J20">
        <v>57.16</v>
      </c>
      <c r="K20">
        <v>28.63</v>
      </c>
      <c r="L20">
        <v>819.49</v>
      </c>
      <c r="M20">
        <v>96</v>
      </c>
      <c r="O20" t="s">
        <v>9</v>
      </c>
      <c r="Q20">
        <v>55.7</v>
      </c>
      <c r="R20">
        <v>30.2</v>
      </c>
      <c r="S20">
        <v>912.02</v>
      </c>
      <c r="T20">
        <v>93</v>
      </c>
    </row>
    <row r="21" spans="1:20" x14ac:dyDescent="0.2">
      <c r="A21" t="s">
        <v>10</v>
      </c>
      <c r="C21">
        <v>49.57</v>
      </c>
      <c r="D21">
        <v>25.22</v>
      </c>
      <c r="E21">
        <v>636.23</v>
      </c>
      <c r="F21">
        <v>423</v>
      </c>
      <c r="H21" t="s">
        <v>10</v>
      </c>
      <c r="J21">
        <v>52.06</v>
      </c>
      <c r="K21">
        <v>28.16</v>
      </c>
      <c r="L21">
        <v>792.93</v>
      </c>
      <c r="M21">
        <v>426</v>
      </c>
      <c r="O21" t="s">
        <v>10</v>
      </c>
      <c r="Q21">
        <v>47.43</v>
      </c>
      <c r="R21">
        <v>27.22</v>
      </c>
      <c r="S21">
        <v>740.78</v>
      </c>
      <c r="T21">
        <v>403</v>
      </c>
    </row>
    <row r="22" spans="1:20" x14ac:dyDescent="0.2">
      <c r="A22" s="1" t="s">
        <v>19</v>
      </c>
      <c r="B22" s="1"/>
      <c r="C22" s="1"/>
      <c r="D22" s="1"/>
      <c r="E22" s="1"/>
      <c r="F22" s="1"/>
    </row>
    <row r="23" spans="1:20" x14ac:dyDescent="0.2">
      <c r="C23" t="s">
        <v>2</v>
      </c>
      <c r="D23" t="s">
        <v>3</v>
      </c>
      <c r="E23" t="s">
        <v>4</v>
      </c>
      <c r="F23" t="s">
        <v>5</v>
      </c>
      <c r="O23" s="1" t="s">
        <v>27</v>
      </c>
      <c r="P23" s="1"/>
      <c r="Q23" s="1"/>
      <c r="R23" s="1"/>
      <c r="S23" s="1"/>
      <c r="T23" s="1"/>
    </row>
    <row r="24" spans="1:20" x14ac:dyDescent="0.2">
      <c r="A24" t="s">
        <v>6</v>
      </c>
      <c r="C24">
        <v>76.489999999999995</v>
      </c>
      <c r="D24">
        <v>23.46</v>
      </c>
      <c r="E24">
        <v>550.20000000000005</v>
      </c>
      <c r="F24">
        <v>824</v>
      </c>
      <c r="O24" t="s">
        <v>14</v>
      </c>
      <c r="P24" t="s">
        <v>15</v>
      </c>
      <c r="Q24" t="s">
        <v>2</v>
      </c>
      <c r="R24" t="s">
        <v>3</v>
      </c>
      <c r="S24" t="s">
        <v>4</v>
      </c>
      <c r="T24" t="s">
        <v>5</v>
      </c>
    </row>
    <row r="25" spans="1:20" x14ac:dyDescent="0.2">
      <c r="A25" t="s">
        <v>7</v>
      </c>
      <c r="C25">
        <v>80.62</v>
      </c>
      <c r="D25">
        <v>21.76</v>
      </c>
      <c r="E25">
        <v>473.28</v>
      </c>
      <c r="F25">
        <v>243</v>
      </c>
      <c r="O25" t="s">
        <v>6</v>
      </c>
      <c r="Q25">
        <v>14.86</v>
      </c>
      <c r="R25">
        <v>23.76</v>
      </c>
      <c r="S25">
        <v>564.70000000000005</v>
      </c>
      <c r="T25">
        <v>739</v>
      </c>
    </row>
    <row r="26" spans="1:20" x14ac:dyDescent="0.2">
      <c r="A26" t="s">
        <v>8</v>
      </c>
      <c r="C26">
        <v>75.56</v>
      </c>
      <c r="D26">
        <v>26.78</v>
      </c>
      <c r="E26">
        <v>717.28</v>
      </c>
      <c r="F26">
        <v>54</v>
      </c>
      <c r="O26" t="s">
        <v>7</v>
      </c>
      <c r="Q26">
        <v>15.88</v>
      </c>
      <c r="R26">
        <v>25.36</v>
      </c>
      <c r="S26">
        <v>643.32000000000005</v>
      </c>
      <c r="T26">
        <v>218</v>
      </c>
    </row>
    <row r="27" spans="1:20" x14ac:dyDescent="0.2">
      <c r="A27" t="s">
        <v>9</v>
      </c>
      <c r="C27">
        <v>81.430000000000007</v>
      </c>
      <c r="D27">
        <v>20.5</v>
      </c>
      <c r="E27">
        <v>420.41</v>
      </c>
      <c r="F27">
        <v>98</v>
      </c>
      <c r="O27" t="s">
        <v>8</v>
      </c>
      <c r="Q27">
        <v>22.64</v>
      </c>
      <c r="R27">
        <v>32.67</v>
      </c>
      <c r="S27">
        <v>1067.29</v>
      </c>
      <c r="T27">
        <v>66</v>
      </c>
    </row>
    <row r="28" spans="1:20" x14ac:dyDescent="0.2">
      <c r="A28" t="s">
        <v>10</v>
      </c>
      <c r="C28">
        <v>75.48</v>
      </c>
      <c r="D28">
        <v>23.11</v>
      </c>
      <c r="E28">
        <v>533.86</v>
      </c>
      <c r="F28">
        <v>429</v>
      </c>
      <c r="O28" t="s">
        <v>9</v>
      </c>
      <c r="Q28">
        <v>17.7</v>
      </c>
      <c r="R28">
        <v>27.94</v>
      </c>
      <c r="S28">
        <v>780.6</v>
      </c>
      <c r="T28">
        <v>93</v>
      </c>
    </row>
    <row r="29" spans="1:20" x14ac:dyDescent="0.2">
      <c r="A29" s="1" t="s">
        <v>20</v>
      </c>
      <c r="B29" s="1"/>
      <c r="C29" s="1"/>
      <c r="D29" s="1"/>
      <c r="E29" s="1"/>
      <c r="F29" s="1"/>
      <c r="O29" t="s">
        <v>10</v>
      </c>
    </row>
    <row r="30" spans="1:20" x14ac:dyDescent="0.2">
      <c r="C30" t="s">
        <v>2</v>
      </c>
      <c r="D30" t="s">
        <v>3</v>
      </c>
      <c r="E30" t="s">
        <v>4</v>
      </c>
      <c r="F30" t="s">
        <v>5</v>
      </c>
    </row>
    <row r="31" spans="1:20" x14ac:dyDescent="0.2">
      <c r="A31" t="s">
        <v>6</v>
      </c>
      <c r="C31">
        <v>51.81</v>
      </c>
      <c r="D31">
        <v>27.23</v>
      </c>
      <c r="E31">
        <v>741.53</v>
      </c>
      <c r="F31">
        <v>821</v>
      </c>
      <c r="O31" s="1" t="s">
        <v>28</v>
      </c>
      <c r="P31" s="1"/>
      <c r="Q31" s="1"/>
      <c r="R31" s="1"/>
      <c r="S31" s="1"/>
      <c r="T31" s="1"/>
    </row>
    <row r="32" spans="1:20" x14ac:dyDescent="0.2">
      <c r="A32" t="s">
        <v>7</v>
      </c>
      <c r="C32">
        <v>55.89</v>
      </c>
      <c r="D32">
        <v>28.24</v>
      </c>
      <c r="E32">
        <v>797.65</v>
      </c>
      <c r="F32">
        <v>241</v>
      </c>
      <c r="Q32" t="s">
        <v>2</v>
      </c>
      <c r="R32" t="s">
        <v>3</v>
      </c>
      <c r="S32" t="s">
        <v>4</v>
      </c>
      <c r="T32" t="s">
        <v>5</v>
      </c>
    </row>
    <row r="33" spans="1:20" x14ac:dyDescent="0.2">
      <c r="A33" t="s">
        <v>8</v>
      </c>
      <c r="C33">
        <v>60.36</v>
      </c>
      <c r="D33">
        <v>28.28</v>
      </c>
      <c r="E33">
        <v>799.87</v>
      </c>
      <c r="F33">
        <v>56</v>
      </c>
      <c r="O33" t="s">
        <v>6</v>
      </c>
      <c r="Q33">
        <v>55.79</v>
      </c>
      <c r="R33">
        <v>26.16</v>
      </c>
      <c r="S33">
        <v>684.31</v>
      </c>
      <c r="T33">
        <v>739</v>
      </c>
    </row>
    <row r="34" spans="1:20" x14ac:dyDescent="0.2">
      <c r="A34" t="s">
        <v>9</v>
      </c>
      <c r="C34">
        <v>61.94</v>
      </c>
      <c r="D34">
        <v>28.74</v>
      </c>
      <c r="E34">
        <v>825.83</v>
      </c>
      <c r="F34">
        <v>98</v>
      </c>
      <c r="O34" t="s">
        <v>7</v>
      </c>
      <c r="Q34">
        <v>61.27</v>
      </c>
      <c r="R34">
        <v>26.33</v>
      </c>
      <c r="S34">
        <v>693.49</v>
      </c>
      <c r="T34">
        <v>167</v>
      </c>
    </row>
    <row r="35" spans="1:20" x14ac:dyDescent="0.2">
      <c r="A35" t="s">
        <v>10</v>
      </c>
      <c r="C35">
        <v>49.13</v>
      </c>
      <c r="D35">
        <v>25.42</v>
      </c>
      <c r="E35">
        <v>646.32000000000005</v>
      </c>
      <c r="F35">
        <v>427</v>
      </c>
      <c r="O35" t="s">
        <v>8</v>
      </c>
      <c r="Q35">
        <v>62.67</v>
      </c>
      <c r="R35">
        <v>29.8</v>
      </c>
      <c r="S35">
        <v>888.16</v>
      </c>
      <c r="T35">
        <v>66</v>
      </c>
    </row>
    <row r="36" spans="1:20" x14ac:dyDescent="0.2">
      <c r="O36" t="s">
        <v>9</v>
      </c>
      <c r="Q36">
        <v>59.97</v>
      </c>
      <c r="R36">
        <v>27.84</v>
      </c>
      <c r="S36">
        <v>775.15</v>
      </c>
      <c r="T36">
        <v>93</v>
      </c>
    </row>
    <row r="37" spans="1:20" x14ac:dyDescent="0.2">
      <c r="O37" t="s">
        <v>10</v>
      </c>
      <c r="Q37">
        <v>51.88</v>
      </c>
      <c r="R37">
        <v>24.83</v>
      </c>
      <c r="S37">
        <v>616.46</v>
      </c>
      <c r="T37">
        <v>403</v>
      </c>
    </row>
    <row r="42" spans="1:20" x14ac:dyDescent="0.2">
      <c r="A42" s="3" t="s">
        <v>1</v>
      </c>
      <c r="B42" s="3"/>
      <c r="C42" s="3" t="s">
        <v>2</v>
      </c>
      <c r="D42" s="3" t="s">
        <v>3</v>
      </c>
      <c r="E42" s="3" t="s">
        <v>4</v>
      </c>
      <c r="F42" s="3" t="s">
        <v>5</v>
      </c>
      <c r="H42" s="3" t="s">
        <v>13</v>
      </c>
      <c r="I42" s="3"/>
      <c r="J42" s="3" t="s">
        <v>2</v>
      </c>
      <c r="K42" s="3" t="s">
        <v>3</v>
      </c>
      <c r="L42" s="3" t="s">
        <v>4</v>
      </c>
      <c r="M42" s="3" t="s">
        <v>5</v>
      </c>
      <c r="O42" s="3" t="s">
        <v>31</v>
      </c>
      <c r="P42" s="3"/>
      <c r="Q42" s="3" t="s">
        <v>2</v>
      </c>
      <c r="R42" s="3" t="s">
        <v>3</v>
      </c>
      <c r="S42" s="3" t="s">
        <v>4</v>
      </c>
      <c r="T42" s="3" t="s">
        <v>5</v>
      </c>
    </row>
    <row r="43" spans="1:20" x14ac:dyDescent="0.2">
      <c r="A43" t="s">
        <v>6</v>
      </c>
      <c r="C43" s="2">
        <v>31.546666666666699</v>
      </c>
      <c r="D43" s="2">
        <v>27.323333333333299</v>
      </c>
      <c r="E43" s="2">
        <v>747.18333333333305</v>
      </c>
      <c r="F43" s="2">
        <f>819+814+739</f>
        <v>2372</v>
      </c>
      <c r="H43" t="s">
        <v>6</v>
      </c>
      <c r="J43" s="2">
        <v>46.27</v>
      </c>
      <c r="K43" s="2">
        <v>28.03</v>
      </c>
      <c r="L43" s="2">
        <v>785.97</v>
      </c>
      <c r="M43" s="2">
        <f>813+808+739</f>
        <v>2360</v>
      </c>
      <c r="O43" t="s">
        <v>6</v>
      </c>
      <c r="Q43" s="2">
        <v>52.206666666666699</v>
      </c>
      <c r="R43" s="2">
        <v>27.37</v>
      </c>
      <c r="S43" s="2">
        <v>749.37</v>
      </c>
      <c r="T43" s="2">
        <v>2365</v>
      </c>
    </row>
    <row r="44" spans="1:20" x14ac:dyDescent="0.2">
      <c r="A44" t="s">
        <v>7</v>
      </c>
      <c r="C44" s="2">
        <v>40.423333333333296</v>
      </c>
      <c r="D44" s="2">
        <v>30.4166666666667</v>
      </c>
      <c r="E44" s="2">
        <v>928.27</v>
      </c>
      <c r="F44" s="2">
        <f>241+247+218</f>
        <v>706</v>
      </c>
      <c r="H44" t="s">
        <v>7</v>
      </c>
      <c r="J44" s="2">
        <v>55.82</v>
      </c>
      <c r="K44" s="2">
        <v>28.7433333333333</v>
      </c>
      <c r="L44" s="2">
        <v>830.53333333333296</v>
      </c>
      <c r="M44" s="2">
        <f>239+244+218</f>
        <v>701</v>
      </c>
      <c r="O44" t="s">
        <v>7</v>
      </c>
      <c r="Q44" s="2">
        <v>57.26</v>
      </c>
      <c r="R44" s="2">
        <v>93.663300000000007</v>
      </c>
      <c r="S44" s="2">
        <v>731.88</v>
      </c>
      <c r="T44" s="2">
        <v>703</v>
      </c>
    </row>
    <row r="45" spans="1:20" x14ac:dyDescent="0.2">
      <c r="A45" t="s">
        <v>8</v>
      </c>
      <c r="C45" s="2">
        <v>34.503333333333302</v>
      </c>
      <c r="D45" s="2">
        <v>27.813333333333301</v>
      </c>
      <c r="E45" s="2">
        <v>775.81</v>
      </c>
      <c r="F45" s="2">
        <f>55+55+66</f>
        <v>176</v>
      </c>
      <c r="H45" t="s">
        <v>8</v>
      </c>
      <c r="J45" s="2">
        <v>51.62</v>
      </c>
      <c r="K45" s="2">
        <v>27.39</v>
      </c>
      <c r="L45" s="2">
        <v>754.76</v>
      </c>
      <c r="M45" s="2">
        <f>56+55+66</f>
        <v>177</v>
      </c>
      <c r="O45" t="s">
        <v>8</v>
      </c>
      <c r="Q45" s="2">
        <v>60.236600000000003</v>
      </c>
      <c r="R45" s="2">
        <v>27.166599999999999</v>
      </c>
      <c r="S45" s="2">
        <v>737.96333300000003</v>
      </c>
      <c r="T45" s="2">
        <v>174</v>
      </c>
    </row>
    <row r="46" spans="1:20" x14ac:dyDescent="0.2">
      <c r="A46" t="s">
        <v>9</v>
      </c>
      <c r="C46" s="2">
        <v>29.03</v>
      </c>
      <c r="D46" s="2">
        <v>26.276666666666699</v>
      </c>
      <c r="E46" s="2">
        <v>691.63</v>
      </c>
      <c r="F46" s="2">
        <f>98+7+93</f>
        <v>198</v>
      </c>
      <c r="H46" t="s">
        <v>9</v>
      </c>
      <c r="J46" s="2">
        <v>43.02</v>
      </c>
      <c r="K46" s="2">
        <v>27.343333333333302</v>
      </c>
      <c r="L46" s="2">
        <v>748.32333333333304</v>
      </c>
      <c r="M46" s="2">
        <f>97+98+93</f>
        <v>288</v>
      </c>
      <c r="O46" t="s">
        <v>9</v>
      </c>
      <c r="Q46" s="2">
        <v>57.93</v>
      </c>
      <c r="R46" s="2">
        <v>29.24333</v>
      </c>
      <c r="S46" s="2">
        <v>855.57665999999995</v>
      </c>
      <c r="T46" s="2">
        <v>286</v>
      </c>
    </row>
    <row r="47" spans="1:20" x14ac:dyDescent="0.2">
      <c r="A47" t="s">
        <v>10</v>
      </c>
      <c r="C47" s="2">
        <v>36.623333333333299</v>
      </c>
      <c r="D47" s="2">
        <v>30.35</v>
      </c>
      <c r="E47" s="2">
        <v>924.46666666666704</v>
      </c>
      <c r="F47" s="2">
        <f>427+425+403</f>
        <v>1255</v>
      </c>
      <c r="H47" t="s">
        <v>10</v>
      </c>
      <c r="J47" s="2">
        <v>51.25</v>
      </c>
      <c r="K47" s="2">
        <v>30.6466666666667</v>
      </c>
      <c r="L47" s="2">
        <v>940.18333333333305</v>
      </c>
      <c r="M47" s="2">
        <f>425+422+403</f>
        <v>1250</v>
      </c>
      <c r="O47" t="s">
        <v>10</v>
      </c>
      <c r="Q47" s="2">
        <v>49.686599999999999</v>
      </c>
      <c r="R47" s="2">
        <v>26.866599999999998</v>
      </c>
      <c r="S47" s="2">
        <v>723.31330000000003</v>
      </c>
      <c r="T47" s="2">
        <v>1252</v>
      </c>
    </row>
    <row r="50" spans="1:6" x14ac:dyDescent="0.2">
      <c r="A50" s="3" t="s">
        <v>29</v>
      </c>
      <c r="B50" s="3"/>
      <c r="C50" s="3" t="s">
        <v>2</v>
      </c>
      <c r="D50" s="3" t="s">
        <v>3</v>
      </c>
      <c r="E50" s="3" t="s">
        <v>4</v>
      </c>
      <c r="F50" s="3" t="s">
        <v>5</v>
      </c>
    </row>
    <row r="51" spans="1:6" x14ac:dyDescent="0.2">
      <c r="A51" t="s">
        <v>6</v>
      </c>
      <c r="C51" s="2">
        <v>14.723333333333301</v>
      </c>
      <c r="D51" s="2">
        <v>0.706666666666667</v>
      </c>
      <c r="E51" s="2">
        <v>38.786666666666498</v>
      </c>
      <c r="F51" s="2"/>
    </row>
    <row r="52" spans="1:6" x14ac:dyDescent="0.2">
      <c r="A52" t="s">
        <v>7</v>
      </c>
      <c r="C52" s="2">
        <v>15.3966666666667</v>
      </c>
      <c r="D52" s="2">
        <v>-1.67333333333334</v>
      </c>
      <c r="E52" s="2">
        <v>-97.736666666666693</v>
      </c>
      <c r="F52" s="2"/>
    </row>
    <row r="53" spans="1:6" x14ac:dyDescent="0.2">
      <c r="A53" t="s">
        <v>8</v>
      </c>
      <c r="C53" s="2">
        <v>17.116666666666699</v>
      </c>
      <c r="D53" s="2">
        <v>-0.42333333333333201</v>
      </c>
      <c r="E53" s="2">
        <v>-21.0500000000001</v>
      </c>
      <c r="F53" s="2"/>
    </row>
    <row r="54" spans="1:6" x14ac:dyDescent="0.2">
      <c r="A54" t="s">
        <v>9</v>
      </c>
      <c r="C54" s="2">
        <v>13.99</v>
      </c>
      <c r="D54" s="2">
        <v>1.06666666666667</v>
      </c>
      <c r="E54" s="2">
        <v>56.693333333333399</v>
      </c>
      <c r="F54" s="2"/>
    </row>
    <row r="55" spans="1:6" x14ac:dyDescent="0.2">
      <c r="A55" t="s">
        <v>10</v>
      </c>
      <c r="C55" s="2">
        <v>14.626666666666701</v>
      </c>
      <c r="D55" s="2">
        <v>0.29666666666666702</v>
      </c>
      <c r="E55" s="2">
        <v>15.7166666666668</v>
      </c>
      <c r="F55" s="2"/>
    </row>
    <row r="59" spans="1:6" x14ac:dyDescent="0.2">
      <c r="A59" s="3" t="s">
        <v>30</v>
      </c>
      <c r="B59" s="3"/>
      <c r="C59" s="3" t="s">
        <v>2</v>
      </c>
      <c r="D59" s="3" t="s">
        <v>3</v>
      </c>
      <c r="E59" s="3" t="s">
        <v>4</v>
      </c>
      <c r="F59" s="3" t="s">
        <v>5</v>
      </c>
    </row>
    <row r="60" spans="1:6" x14ac:dyDescent="0.2">
      <c r="A60" t="s">
        <v>6</v>
      </c>
      <c r="C60" s="2">
        <v>20.66</v>
      </c>
      <c r="D60" s="2">
        <v>0.119999999999997</v>
      </c>
      <c r="E60" s="2">
        <v>6.1833333333332803</v>
      </c>
      <c r="F60" s="2"/>
    </row>
    <row r="61" spans="1:6" x14ac:dyDescent="0.2">
      <c r="A61" t="s">
        <v>7</v>
      </c>
      <c r="C61" s="2">
        <v>20.503333333333298</v>
      </c>
      <c r="D61" s="2">
        <v>-2.41</v>
      </c>
      <c r="E61" s="2">
        <v>-143.63</v>
      </c>
      <c r="F61" s="2"/>
    </row>
    <row r="62" spans="1:6" x14ac:dyDescent="0.2">
      <c r="A62" t="s">
        <v>8</v>
      </c>
      <c r="C62" s="2">
        <v>22.976666666666699</v>
      </c>
      <c r="D62" s="2">
        <v>67.096666666666707</v>
      </c>
      <c r="E62" s="2">
        <v>21.900000000000102</v>
      </c>
      <c r="F62" s="2"/>
    </row>
    <row r="63" spans="1:6" x14ac:dyDescent="0.2">
      <c r="A63" t="s">
        <v>9</v>
      </c>
      <c r="C63" s="2">
        <v>19.8266666666667</v>
      </c>
      <c r="D63" s="2">
        <v>-0.39000000000000101</v>
      </c>
      <c r="E63" s="2">
        <v>-20.55</v>
      </c>
      <c r="F63" s="2"/>
    </row>
    <row r="64" spans="1:6" x14ac:dyDescent="0.2">
      <c r="A64" t="s">
        <v>10</v>
      </c>
      <c r="C64" s="2">
        <v>22.563333333333301</v>
      </c>
      <c r="D64" s="2">
        <v>-1.0166666666666699</v>
      </c>
      <c r="E64" s="2">
        <v>-63.646666666666498</v>
      </c>
      <c r="F64" s="2"/>
    </row>
    <row r="66" spans="1:6" x14ac:dyDescent="0.2">
      <c r="A66" s="3" t="s">
        <v>32</v>
      </c>
      <c r="B66" s="3"/>
      <c r="C66" s="3" t="s">
        <v>2</v>
      </c>
      <c r="D66" s="3" t="s">
        <v>3</v>
      </c>
      <c r="E66" s="3" t="s">
        <v>4</v>
      </c>
      <c r="F66" s="3" t="s">
        <v>5</v>
      </c>
    </row>
    <row r="67" spans="1:6" x14ac:dyDescent="0.2">
      <c r="A67" t="s">
        <v>6</v>
      </c>
      <c r="C67" s="2">
        <v>5.9366666666666701</v>
      </c>
      <c r="D67" s="2">
        <v>-0.58666666666667</v>
      </c>
      <c r="E67" s="2">
        <v>-32.603333333333197</v>
      </c>
      <c r="F67" s="2"/>
    </row>
    <row r="68" spans="1:6" x14ac:dyDescent="0.2">
      <c r="A68" t="s">
        <v>7</v>
      </c>
      <c r="C68" s="2">
        <v>5.1066666666666798</v>
      </c>
      <c r="D68" s="2">
        <v>-0.73666666666665803</v>
      </c>
      <c r="E68" s="2">
        <v>-45.893333333333302</v>
      </c>
      <c r="F68" s="2"/>
    </row>
    <row r="69" spans="1:6" x14ac:dyDescent="0.2">
      <c r="A69" t="s">
        <v>8</v>
      </c>
      <c r="C69" s="2">
        <v>5.8599999999999897</v>
      </c>
      <c r="D69" s="2">
        <v>67.52</v>
      </c>
      <c r="E69" s="2">
        <v>42.950000000000202</v>
      </c>
      <c r="F69" s="2"/>
    </row>
    <row r="70" spans="1:6" x14ac:dyDescent="0.2">
      <c r="A70" t="s">
        <v>9</v>
      </c>
      <c r="C70" s="2">
        <v>5.8366666666666598</v>
      </c>
      <c r="D70" s="2">
        <v>-1.4566666666666701</v>
      </c>
      <c r="E70" s="2">
        <v>-77.243333333333297</v>
      </c>
      <c r="F70" s="2"/>
    </row>
    <row r="71" spans="1:6" x14ac:dyDescent="0.2">
      <c r="A71" t="s">
        <v>10</v>
      </c>
      <c r="C71" s="2">
        <v>7.9366666666666701</v>
      </c>
      <c r="D71" s="2">
        <v>-1.3133333333333299</v>
      </c>
      <c r="E71" s="2">
        <v>-79.363333333333301</v>
      </c>
      <c r="F71" s="2"/>
    </row>
  </sheetData>
  <mergeCells count="13">
    <mergeCell ref="O1:T1"/>
    <mergeCell ref="O8:T8"/>
    <mergeCell ref="O15:T15"/>
    <mergeCell ref="O23:T23"/>
    <mergeCell ref="O31:T31"/>
    <mergeCell ref="A1:F1"/>
    <mergeCell ref="A8:F8"/>
    <mergeCell ref="A15:F15"/>
    <mergeCell ref="A22:F22"/>
    <mergeCell ref="A29:F29"/>
    <mergeCell ref="H1:M1"/>
    <mergeCell ref="H8:M8"/>
    <mergeCell ref="H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2024-12-27T16:43:16Z</dcterms:created>
  <dcterms:modified xsi:type="dcterms:W3CDTF">2024-12-27T20:25:42Z</dcterms:modified>
</cp:coreProperties>
</file>